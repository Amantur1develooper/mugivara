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6900" tabRatio="748"/>
  </bookViews>
  <sheets>
    <sheet name="МЕНЮ" sheetId="17" r:id="rId1"/>
    <sheet name="Завтрак" sheetId="1" r:id="rId2"/>
    <sheet name="Закуски" sheetId="2" r:id="rId3"/>
    <sheet name="Салаты " sheetId="3" state="hidden" r:id="rId4"/>
    <sheet name="Снеки, сендвичи" sheetId="4" state="hidden" r:id="rId5"/>
    <sheet name="Пицца" sheetId="5" state="hidden" r:id="rId6"/>
    <sheet name="Паста" sheetId="6" state="hidden" r:id="rId7"/>
    <sheet name="Первое" sheetId="7" state="hidden" r:id="rId8"/>
    <sheet name="Второе" sheetId="8" r:id="rId9"/>
    <sheet name="Гарниры" sheetId="9" r:id="rId10"/>
    <sheet name="Выпечка" sheetId="10" r:id="rId11"/>
    <sheet name="Десерты" sheetId="11" r:id="rId12"/>
    <sheet name="пф мясное" sheetId="13" r:id="rId13"/>
    <sheet name="пф соусы бульоны" sheetId="14" r:id="rId14"/>
    <sheet name="пфмучное" sheetId="15" r:id="rId15"/>
    <sheet name="Лист5" sheetId="16" r:id="rId1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50" i="17" l="1"/>
  <c r="H150" i="17"/>
  <c r="F145" i="17"/>
  <c r="H145" i="17" s="1"/>
  <c r="F82" i="17"/>
  <c r="F81" i="17"/>
  <c r="F34" i="17" l="1"/>
  <c r="F113" i="17" l="1"/>
  <c r="F112" i="17"/>
  <c r="F108" i="17"/>
  <c r="F102" i="17"/>
  <c r="F101" i="17"/>
  <c r="F87" i="17"/>
  <c r="F80" i="17"/>
  <c r="F79" i="17"/>
  <c r="F61" i="17"/>
  <c r="F60" i="17"/>
  <c r="F59" i="17"/>
  <c r="F58" i="17"/>
  <c r="F53" i="17"/>
  <c r="F54" i="17"/>
  <c r="F51" i="17"/>
  <c r="F50" i="17"/>
  <c r="F49" i="17"/>
  <c r="F48" i="17"/>
  <c r="F47" i="17"/>
  <c r="F45" i="17"/>
  <c r="F44" i="17"/>
  <c r="F42" i="17"/>
  <c r="F41" i="17"/>
  <c r="F40" i="17"/>
  <c r="F38" i="17"/>
  <c r="F37" i="17"/>
  <c r="F36" i="17"/>
  <c r="F32" i="17"/>
  <c r="F26" i="17"/>
  <c r="F25" i="17"/>
  <c r="F22" i="17"/>
  <c r="F21" i="17"/>
  <c r="F20" i="17"/>
  <c r="F18" i="17"/>
  <c r="F13" i="17"/>
  <c r="F12" i="17"/>
  <c r="F11" i="17"/>
  <c r="F10" i="17"/>
  <c r="F9" i="17"/>
  <c r="F27" i="17" l="1"/>
  <c r="H109" i="17"/>
  <c r="H114" i="17"/>
  <c r="H119" i="17"/>
  <c r="F121" i="17"/>
  <c r="F120" i="17"/>
  <c r="F118" i="17"/>
  <c r="F117" i="17"/>
  <c r="F116" i="17"/>
  <c r="F115" i="17"/>
  <c r="F111" i="17"/>
  <c r="F110" i="17"/>
  <c r="F103" i="17"/>
  <c r="G25" i="8"/>
  <c r="H112" i="17" l="1"/>
  <c r="H27" i="17"/>
  <c r="H116" i="17"/>
  <c r="H118" i="17"/>
  <c r="H121" i="17"/>
  <c r="H120" i="17"/>
  <c r="H115" i="17"/>
  <c r="H111" i="17"/>
  <c r="H110" i="17"/>
  <c r="H26" i="17"/>
  <c r="H103" i="17"/>
  <c r="H117" i="17"/>
  <c r="H113" i="17"/>
  <c r="F93" i="17"/>
  <c r="F98" i="17"/>
  <c r="F97" i="17"/>
  <c r="F96" i="17"/>
  <c r="F95" i="17"/>
  <c r="F71" i="17"/>
  <c r="F70" i="17"/>
  <c r="F69" i="17"/>
  <c r="G77" i="5"/>
  <c r="D16" i="4"/>
  <c r="D35" i="4"/>
  <c r="D13" i="3"/>
  <c r="F33" i="17"/>
  <c r="G99" i="2"/>
  <c r="E100" i="2"/>
  <c r="D100" i="2"/>
  <c r="G98" i="2"/>
  <c r="G97" i="2"/>
  <c r="G96" i="2"/>
  <c r="G95" i="2"/>
  <c r="G94" i="2"/>
  <c r="G93" i="2"/>
  <c r="G92" i="2"/>
  <c r="G91" i="2"/>
  <c r="G84" i="2"/>
  <c r="E85" i="2"/>
  <c r="D85" i="2"/>
  <c r="G83" i="2"/>
  <c r="G82" i="2"/>
  <c r="G81" i="2"/>
  <c r="G80" i="2"/>
  <c r="G79" i="2"/>
  <c r="G78" i="2"/>
  <c r="G77" i="2"/>
  <c r="G85" i="2" s="1"/>
  <c r="G86" i="2" s="1"/>
  <c r="G76" i="2"/>
  <c r="F31" i="17"/>
  <c r="F23" i="17"/>
  <c r="G43" i="1"/>
  <c r="G42" i="1"/>
  <c r="D44" i="1"/>
  <c r="G100" i="2" l="1"/>
  <c r="G101" i="2" s="1"/>
  <c r="H13" i="17"/>
  <c r="H60" i="17"/>
  <c r="H70" i="17"/>
  <c r="H80" i="17"/>
  <c r="H96" i="17"/>
  <c r="H98" i="17"/>
  <c r="H59" i="17"/>
  <c r="H69" i="17"/>
  <c r="H71" i="17"/>
  <c r="H95" i="17"/>
  <c r="H97" i="17"/>
  <c r="H93" i="17"/>
  <c r="H61" i="17"/>
  <c r="H32" i="17"/>
  <c r="H47" i="17"/>
  <c r="H31" i="17"/>
  <c r="H33" i="17"/>
  <c r="H48" i="17"/>
  <c r="G65" i="1"/>
  <c r="F149" i="17" l="1"/>
  <c r="F148" i="17"/>
  <c r="F147" i="17"/>
  <c r="F144" i="17"/>
  <c r="F143" i="17"/>
  <c r="F142" i="17"/>
  <c r="F141" i="17"/>
  <c r="F139" i="17"/>
  <c r="F138" i="17"/>
  <c r="F137" i="17"/>
  <c r="F135" i="17"/>
  <c r="F134" i="17"/>
  <c r="F133" i="17"/>
  <c r="F130" i="17"/>
  <c r="F129" i="17"/>
  <c r="F128" i="17"/>
  <c r="F127" i="17"/>
  <c r="F126" i="17"/>
  <c r="F125" i="17"/>
  <c r="F124" i="17"/>
  <c r="F123" i="17"/>
  <c r="F104" i="17"/>
  <c r="F107" i="17"/>
  <c r="F106" i="17"/>
  <c r="F94" i="17"/>
  <c r="F92" i="17"/>
  <c r="F91" i="17"/>
  <c r="F90" i="17"/>
  <c r="F89" i="17"/>
  <c r="F88" i="17"/>
  <c r="F78" i="17"/>
  <c r="F77" i="17"/>
  <c r="F76" i="17"/>
  <c r="F75" i="17"/>
  <c r="F74" i="17"/>
  <c r="F73" i="17"/>
  <c r="F72" i="17"/>
  <c r="F68" i="17"/>
  <c r="F67" i="17"/>
  <c r="F66" i="17"/>
  <c r="F65" i="17"/>
  <c r="F64" i="17"/>
  <c r="F63" i="17"/>
  <c r="F57" i="17"/>
  <c r="F56" i="17"/>
  <c r="F55" i="17"/>
  <c r="F43" i="17"/>
  <c r="F29" i="17"/>
  <c r="F28" i="17"/>
  <c r="H23" i="17"/>
  <c r="H22" i="17"/>
  <c r="H21" i="17"/>
  <c r="H20" i="17"/>
  <c r="F17" i="17"/>
  <c r="F16" i="17"/>
  <c r="F15" i="17"/>
  <c r="H12" i="17"/>
  <c r="H11" i="17"/>
  <c r="H9" i="17"/>
  <c r="F7" i="17"/>
  <c r="H6" i="17"/>
  <c r="F5" i="17"/>
  <c r="F4" i="17"/>
  <c r="F3" i="17"/>
  <c r="H2" i="17"/>
  <c r="H51" i="17" l="1"/>
  <c r="H134" i="17"/>
  <c r="H137" i="17"/>
  <c r="H139" i="17"/>
  <c r="H142" i="17"/>
  <c r="H144" i="17"/>
  <c r="H148" i="17"/>
  <c r="H133" i="17"/>
  <c r="H135" i="17"/>
  <c r="H138" i="17"/>
  <c r="H141" i="17"/>
  <c r="H143" i="17"/>
  <c r="H147" i="17"/>
  <c r="H149" i="17"/>
  <c r="H28" i="17"/>
  <c r="H36" i="17"/>
  <c r="H38" i="17"/>
  <c r="H50" i="17"/>
  <c r="H7" i="17"/>
  <c r="H16" i="17"/>
  <c r="H124" i="17"/>
  <c r="H128" i="17"/>
  <c r="H58" i="17"/>
  <c r="H66" i="17"/>
  <c r="H73" i="17"/>
  <c r="H79" i="17"/>
  <c r="H92" i="17"/>
  <c r="H101" i="17"/>
  <c r="H106" i="17"/>
  <c r="H108" i="17"/>
  <c r="H104" i="17"/>
  <c r="H126" i="17"/>
  <c r="H130" i="17"/>
  <c r="H88" i="17"/>
  <c r="H90" i="17"/>
  <c r="H77" i="17"/>
  <c r="H75" i="17"/>
  <c r="H64" i="17"/>
  <c r="H68" i="17"/>
  <c r="H56" i="17"/>
  <c r="H54" i="17"/>
  <c r="H49" i="17"/>
  <c r="H43" i="17"/>
  <c r="H41" i="17"/>
  <c r="H18" i="17"/>
  <c r="H4" i="17"/>
  <c r="H3" i="17"/>
  <c r="H5" i="17"/>
  <c r="H10" i="17"/>
  <c r="H15" i="17"/>
  <c r="H17" i="17"/>
  <c r="H25" i="17"/>
  <c r="H29" i="17"/>
  <c r="H37" i="17"/>
  <c r="H40" i="17"/>
  <c r="H42" i="17"/>
  <c r="H44" i="17"/>
  <c r="H45" i="17"/>
  <c r="H53" i="17"/>
  <c r="H55" i="17"/>
  <c r="H57" i="17"/>
  <c r="H63" i="17"/>
  <c r="H65" i="17"/>
  <c r="H67" i="17"/>
  <c r="H72" i="17"/>
  <c r="H74" i="17"/>
  <c r="H76" i="17"/>
  <c r="H78" i="17"/>
  <c r="H87" i="17"/>
  <c r="H89" i="17"/>
  <c r="H91" i="17"/>
  <c r="H94" i="17"/>
  <c r="H102" i="17"/>
  <c r="H107" i="17"/>
  <c r="H123" i="17"/>
  <c r="H125" i="17"/>
  <c r="H127" i="17"/>
  <c r="H129" i="17"/>
  <c r="G113" i="7"/>
  <c r="G6" i="3" l="1"/>
  <c r="E84" i="13" l="1"/>
  <c r="D84" i="13"/>
  <c r="F83" i="13"/>
  <c r="F82" i="13"/>
  <c r="F81" i="13"/>
  <c r="F80" i="13"/>
  <c r="F79" i="13"/>
  <c r="F78" i="13"/>
  <c r="G19" i="6"/>
  <c r="G41" i="1"/>
  <c r="E44" i="1"/>
  <c r="F84" i="13" l="1"/>
  <c r="F24" i="13"/>
  <c r="E20" i="13"/>
  <c r="G152" i="8"/>
  <c r="G142" i="3"/>
  <c r="G17" i="2"/>
  <c r="D17" i="7"/>
  <c r="E140" i="8"/>
  <c r="D140" i="8"/>
  <c r="E27" i="10"/>
  <c r="F27" i="10"/>
  <c r="D27" i="10"/>
  <c r="E19" i="10"/>
  <c r="F19" i="10"/>
  <c r="D19" i="10"/>
  <c r="E9" i="11"/>
  <c r="F9" i="11"/>
  <c r="D9" i="11"/>
  <c r="E115" i="9"/>
  <c r="F115" i="9"/>
  <c r="D115" i="9"/>
  <c r="E101" i="9"/>
  <c r="F101" i="9"/>
  <c r="D101" i="9"/>
  <c r="D13" i="9"/>
  <c r="E172" i="8"/>
  <c r="D172" i="8"/>
  <c r="D156" i="8"/>
  <c r="E156" i="8"/>
  <c r="H17" i="10"/>
  <c r="H18" i="10"/>
  <c r="E11" i="10"/>
  <c r="F11" i="10"/>
  <c r="D11" i="10"/>
  <c r="E73" i="9"/>
  <c r="F73" i="9"/>
  <c r="G73" i="9"/>
  <c r="D73" i="9"/>
  <c r="E64" i="9"/>
  <c r="F64" i="9"/>
  <c r="G64" i="9"/>
  <c r="D64" i="9"/>
  <c r="E43" i="9"/>
  <c r="F43" i="9"/>
  <c r="G43" i="9"/>
  <c r="D43" i="9"/>
  <c r="E33" i="9"/>
  <c r="F33" i="9"/>
  <c r="G33" i="9"/>
  <c r="D33" i="9"/>
  <c r="H38" i="9"/>
  <c r="E13" i="9"/>
  <c r="E124" i="8"/>
  <c r="D124" i="8"/>
  <c r="D109" i="8"/>
  <c r="E109" i="8"/>
  <c r="G85" i="8"/>
  <c r="E93" i="8"/>
  <c r="D93" i="8"/>
  <c r="E80" i="8"/>
  <c r="D80" i="8"/>
  <c r="E66" i="8"/>
  <c r="D66" i="8"/>
  <c r="E38" i="8"/>
  <c r="D38" i="8"/>
  <c r="E51" i="8"/>
  <c r="D51" i="8"/>
  <c r="D70" i="14"/>
  <c r="E26" i="8"/>
  <c r="D26" i="8"/>
  <c r="G4" i="8"/>
  <c r="G5" i="8"/>
  <c r="G6" i="8"/>
  <c r="G7" i="8"/>
  <c r="G8" i="8"/>
  <c r="G9" i="8"/>
  <c r="G10" i="8"/>
  <c r="G11" i="8"/>
  <c r="G3" i="8"/>
  <c r="E12" i="8"/>
  <c r="D12" i="8"/>
  <c r="E147" i="7"/>
  <c r="D147" i="7"/>
  <c r="E133" i="7"/>
  <c r="D133" i="7"/>
  <c r="E119" i="7"/>
  <c r="D119" i="7"/>
  <c r="E102" i="7"/>
  <c r="D102" i="7"/>
  <c r="E92" i="7"/>
  <c r="D92" i="7"/>
  <c r="E79" i="7"/>
  <c r="D79" i="7"/>
  <c r="E16" i="4"/>
  <c r="G5" i="4"/>
  <c r="G6" i="4"/>
  <c r="G7" i="4"/>
  <c r="G8" i="4"/>
  <c r="G9" i="4"/>
  <c r="G10" i="4"/>
  <c r="G11" i="4"/>
  <c r="G12" i="4"/>
  <c r="G13" i="4"/>
  <c r="G14" i="4"/>
  <c r="G49" i="6"/>
  <c r="G74" i="7"/>
  <c r="G75" i="7"/>
  <c r="G76" i="7"/>
  <c r="G77" i="7"/>
  <c r="G78" i="7"/>
  <c r="G72" i="7"/>
  <c r="G57" i="7"/>
  <c r="G58" i="7"/>
  <c r="G59" i="7"/>
  <c r="G60" i="7"/>
  <c r="G61" i="7"/>
  <c r="G62" i="7"/>
  <c r="G63" i="7"/>
  <c r="G64" i="7"/>
  <c r="G65" i="7"/>
  <c r="G56" i="7"/>
  <c r="E66" i="7"/>
  <c r="D66" i="7"/>
  <c r="E51" i="7"/>
  <c r="D51" i="7"/>
  <c r="G32" i="7"/>
  <c r="E33" i="7"/>
  <c r="D33" i="7"/>
  <c r="E17" i="7"/>
  <c r="E214" i="14"/>
  <c r="F213" i="14"/>
  <c r="F212" i="14"/>
  <c r="F211" i="14"/>
  <c r="F210" i="14"/>
  <c r="F209" i="14"/>
  <c r="F208" i="14"/>
  <c r="F207" i="14"/>
  <c r="F214" i="14" s="1"/>
  <c r="H214" i="14" s="1"/>
  <c r="F206" i="14"/>
  <c r="F195" i="14"/>
  <c r="F196" i="14"/>
  <c r="F197" i="14"/>
  <c r="F198" i="14"/>
  <c r="F199" i="14"/>
  <c r="F194" i="14"/>
  <c r="D190" i="14"/>
  <c r="F189" i="14"/>
  <c r="F188" i="14"/>
  <c r="F187" i="14"/>
  <c r="F186" i="14"/>
  <c r="E74" i="13"/>
  <c r="D74" i="13"/>
  <c r="F73" i="13"/>
  <c r="F72" i="13"/>
  <c r="F71" i="13"/>
  <c r="D61" i="15"/>
  <c r="F60" i="15"/>
  <c r="F59" i="15"/>
  <c r="F58" i="15"/>
  <c r="F57" i="15"/>
  <c r="D52" i="15"/>
  <c r="F51" i="15"/>
  <c r="F50" i="15"/>
  <c r="F49" i="15"/>
  <c r="F48" i="15"/>
  <c r="E43" i="15"/>
  <c r="D43" i="15"/>
  <c r="F42" i="15"/>
  <c r="F41" i="15"/>
  <c r="F40" i="15"/>
  <c r="F39" i="15"/>
  <c r="F38" i="15"/>
  <c r="F36" i="15"/>
  <c r="F35" i="15"/>
  <c r="F34" i="15"/>
  <c r="F33" i="15"/>
  <c r="F32" i="15"/>
  <c r="E27" i="15"/>
  <c r="D27" i="15"/>
  <c r="F26" i="15"/>
  <c r="F25" i="15"/>
  <c r="F24" i="15"/>
  <c r="F23" i="15"/>
  <c r="F22" i="15"/>
  <c r="F21" i="15"/>
  <c r="F20" i="15"/>
  <c r="F19" i="15"/>
  <c r="F18" i="15"/>
  <c r="F17" i="15"/>
  <c r="D13" i="15"/>
  <c r="F12" i="15"/>
  <c r="F11" i="15"/>
  <c r="F10" i="15"/>
  <c r="F9" i="15"/>
  <c r="F8" i="15"/>
  <c r="F7" i="15"/>
  <c r="F6" i="15"/>
  <c r="F5" i="15"/>
  <c r="F4" i="15"/>
  <c r="F3" i="15"/>
  <c r="D181" i="14"/>
  <c r="F179" i="14"/>
  <c r="F181" i="14" s="1"/>
  <c r="D175" i="14"/>
  <c r="F173" i="14"/>
  <c r="F175" i="14" s="1"/>
  <c r="D169" i="14"/>
  <c r="F168" i="14"/>
  <c r="F167" i="14"/>
  <c r="F166" i="14"/>
  <c r="F165" i="14"/>
  <c r="F164" i="14"/>
  <c r="F163" i="14"/>
  <c r="F162" i="14"/>
  <c r="D158" i="14"/>
  <c r="F157" i="14"/>
  <c r="F156" i="14"/>
  <c r="F155" i="14"/>
  <c r="F154" i="14"/>
  <c r="F153" i="14"/>
  <c r="F152" i="14"/>
  <c r="F151" i="14"/>
  <c r="D147" i="14"/>
  <c r="F146" i="14"/>
  <c r="F145" i="14"/>
  <c r="E141" i="14"/>
  <c r="D141" i="14"/>
  <c r="F140" i="14"/>
  <c r="F139" i="14"/>
  <c r="D135" i="14"/>
  <c r="F134" i="14"/>
  <c r="F133" i="14"/>
  <c r="D129" i="14"/>
  <c r="F128" i="14"/>
  <c r="F127" i="14"/>
  <c r="F126" i="14"/>
  <c r="D122" i="14"/>
  <c r="F121" i="14"/>
  <c r="F120" i="14"/>
  <c r="F119" i="14"/>
  <c r="F118" i="14"/>
  <c r="D113" i="14"/>
  <c r="F112" i="14"/>
  <c r="F111" i="14"/>
  <c r="F110" i="14"/>
  <c r="F109" i="14"/>
  <c r="F108" i="14"/>
  <c r="E104" i="14"/>
  <c r="D104" i="14"/>
  <c r="F103" i="14"/>
  <c r="F102" i="14"/>
  <c r="F101" i="14"/>
  <c r="F100" i="14"/>
  <c r="F99" i="14"/>
  <c r="F98" i="14"/>
  <c r="E94" i="14"/>
  <c r="D94" i="14"/>
  <c r="F93" i="14"/>
  <c r="F92" i="14"/>
  <c r="F91" i="14"/>
  <c r="F90" i="14"/>
  <c r="F89" i="14"/>
  <c r="F88" i="14"/>
  <c r="F87" i="14"/>
  <c r="H87" i="14" s="1"/>
  <c r="D83" i="14"/>
  <c r="F82" i="14"/>
  <c r="F81" i="14"/>
  <c r="F80" i="14"/>
  <c r="F79" i="14"/>
  <c r="F78" i="14"/>
  <c r="F77" i="14"/>
  <c r="F76" i="14"/>
  <c r="F75" i="14"/>
  <c r="F74" i="14"/>
  <c r="F69" i="14"/>
  <c r="F68" i="14"/>
  <c r="F67" i="14"/>
  <c r="F66" i="14"/>
  <c r="F65" i="14"/>
  <c r="F64" i="14"/>
  <c r="F63" i="14"/>
  <c r="D59" i="14"/>
  <c r="F58" i="14"/>
  <c r="F57" i="14"/>
  <c r="F56" i="14"/>
  <c r="F55" i="14"/>
  <c r="F54" i="14"/>
  <c r="F53" i="14"/>
  <c r="F52" i="14"/>
  <c r="F51" i="14"/>
  <c r="F50" i="14"/>
  <c r="F49" i="14"/>
  <c r="F48" i="14"/>
  <c r="E44" i="14"/>
  <c r="D44" i="14"/>
  <c r="F43" i="14"/>
  <c r="F42" i="14"/>
  <c r="F41" i="14"/>
  <c r="F40" i="14"/>
  <c r="F39" i="14"/>
  <c r="F38" i="14"/>
  <c r="F37" i="14"/>
  <c r="F36" i="14"/>
  <c r="F35" i="14"/>
  <c r="F34" i="14"/>
  <c r="F33" i="14"/>
  <c r="D29" i="14"/>
  <c r="F28" i="14"/>
  <c r="F27" i="14"/>
  <c r="F26" i="14"/>
  <c r="F25" i="14"/>
  <c r="F24" i="14"/>
  <c r="D20" i="14"/>
  <c r="F18" i="14"/>
  <c r="F17" i="14"/>
  <c r="F16" i="14"/>
  <c r="D12" i="14"/>
  <c r="F11" i="14"/>
  <c r="F10" i="14"/>
  <c r="F9" i="14"/>
  <c r="F8" i="14"/>
  <c r="F7" i="14"/>
  <c r="F6" i="14"/>
  <c r="F5" i="14"/>
  <c r="F4" i="14"/>
  <c r="F3" i="14"/>
  <c r="E66" i="13"/>
  <c r="D66" i="13"/>
  <c r="F65" i="13"/>
  <c r="F64" i="13"/>
  <c r="F63" i="13"/>
  <c r="F62" i="13"/>
  <c r="F61" i="13"/>
  <c r="F60" i="13"/>
  <c r="E55" i="13"/>
  <c r="D55" i="13"/>
  <c r="F54" i="13"/>
  <c r="F53" i="13"/>
  <c r="F52" i="13"/>
  <c r="F51" i="13"/>
  <c r="F50" i="13"/>
  <c r="F49" i="13"/>
  <c r="F48" i="13"/>
  <c r="F47" i="13"/>
  <c r="E43" i="13"/>
  <c r="D43" i="13"/>
  <c r="F42" i="13"/>
  <c r="F41" i="13"/>
  <c r="F40" i="13"/>
  <c r="F39" i="13"/>
  <c r="F38" i="13"/>
  <c r="F37" i="13"/>
  <c r="F36" i="13"/>
  <c r="F35" i="13"/>
  <c r="F34" i="13"/>
  <c r="E30" i="13"/>
  <c r="D30" i="13"/>
  <c r="F29" i="13"/>
  <c r="F28" i="13"/>
  <c r="F27" i="13"/>
  <c r="F26" i="13"/>
  <c r="F25" i="13"/>
  <c r="D20" i="13"/>
  <c r="F19" i="13"/>
  <c r="F18" i="13"/>
  <c r="F17" i="13"/>
  <c r="F16" i="13"/>
  <c r="F15" i="13"/>
  <c r="F14" i="13"/>
  <c r="E10" i="13"/>
  <c r="E11" i="13" s="1"/>
  <c r="D10" i="13"/>
  <c r="F9" i="13"/>
  <c r="F8" i="13"/>
  <c r="F7" i="13"/>
  <c r="F6" i="13"/>
  <c r="F5" i="13"/>
  <c r="F4" i="13"/>
  <c r="F141" i="14" l="1"/>
  <c r="H141" i="14" s="1"/>
  <c r="F85" i="13"/>
  <c r="H84" i="13"/>
  <c r="G12" i="8"/>
  <c r="G13" i="8" s="1"/>
  <c r="F113" i="14"/>
  <c r="H113" i="14" s="1"/>
  <c r="F20" i="14"/>
  <c r="H20" i="14" s="1"/>
  <c r="F61" i="15"/>
  <c r="H61" i="15" s="1"/>
  <c r="F74" i="13"/>
  <c r="F27" i="15"/>
  <c r="H27" i="15" s="1"/>
  <c r="F43" i="15"/>
  <c r="H43" i="15" s="1"/>
  <c r="F52" i="15"/>
  <c r="H52" i="15" s="1"/>
  <c r="F13" i="15"/>
  <c r="H13" i="15" s="1"/>
  <c r="H202" i="14"/>
  <c r="F190" i="14"/>
  <c r="H190" i="14" s="1"/>
  <c r="F44" i="14"/>
  <c r="H44" i="14" s="1"/>
  <c r="F59" i="14"/>
  <c r="H59" i="14" s="1"/>
  <c r="F70" i="14"/>
  <c r="H70" i="14" s="1"/>
  <c r="F83" i="14"/>
  <c r="H83" i="14" s="1"/>
  <c r="F104" i="14"/>
  <c r="H104" i="14" s="1"/>
  <c r="F122" i="14"/>
  <c r="H122" i="14" s="1"/>
  <c r="F129" i="14"/>
  <c r="H129" i="14" s="1"/>
  <c r="F135" i="14"/>
  <c r="H135" i="14" s="1"/>
  <c r="F147" i="14"/>
  <c r="H147" i="14" s="1"/>
  <c r="F158" i="14"/>
  <c r="H158" i="14" s="1"/>
  <c r="F169" i="14"/>
  <c r="H169" i="14" s="1"/>
  <c r="H175" i="14"/>
  <c r="H181" i="14"/>
  <c r="F29" i="14"/>
  <c r="H29" i="14" s="1"/>
  <c r="F12" i="14"/>
  <c r="H12" i="14" s="1"/>
  <c r="F10" i="13"/>
  <c r="F43" i="13"/>
  <c r="H43" i="13" s="1"/>
  <c r="F55" i="13"/>
  <c r="H56" i="13" s="1"/>
  <c r="F20" i="13"/>
  <c r="G103" i="14"/>
  <c r="F94" i="14"/>
  <c r="F30" i="13"/>
  <c r="H30" i="13" s="1"/>
  <c r="F66" i="13"/>
  <c r="H10" i="13" l="1"/>
  <c r="F11" i="13"/>
  <c r="H20" i="13"/>
  <c r="F21" i="13"/>
  <c r="H15" i="11"/>
  <c r="H16" i="11"/>
  <c r="H4" i="11"/>
  <c r="H5" i="11"/>
  <c r="H6" i="11"/>
  <c r="H7" i="11"/>
  <c r="H8" i="11"/>
  <c r="H3" i="11"/>
  <c r="H25" i="10"/>
  <c r="H26" i="10"/>
  <c r="C27" i="10"/>
  <c r="H24" i="10"/>
  <c r="H27" i="10" s="1"/>
  <c r="H16" i="10"/>
  <c r="H19" i="10" s="1"/>
  <c r="H4" i="10"/>
  <c r="H5" i="10"/>
  <c r="H6" i="10"/>
  <c r="H7" i="10"/>
  <c r="H8" i="10"/>
  <c r="H9" i="10"/>
  <c r="H10" i="10"/>
  <c r="H3" i="10"/>
  <c r="H52" i="9"/>
  <c r="H54" i="9"/>
  <c r="E24" i="9"/>
  <c r="D24" i="9"/>
  <c r="H107" i="9"/>
  <c r="H108" i="9"/>
  <c r="H109" i="9"/>
  <c r="H110" i="9"/>
  <c r="H111" i="9"/>
  <c r="H112" i="9"/>
  <c r="H113" i="9"/>
  <c r="H114" i="9"/>
  <c r="H106" i="9"/>
  <c r="H72" i="9"/>
  <c r="H71" i="9"/>
  <c r="H70" i="9"/>
  <c r="H69" i="9"/>
  <c r="H53" i="9"/>
  <c r="E55" i="9"/>
  <c r="D55" i="9"/>
  <c r="H51" i="9"/>
  <c r="H50" i="9"/>
  <c r="H49" i="9"/>
  <c r="H48" i="9"/>
  <c r="H97" i="9"/>
  <c r="H98" i="9"/>
  <c r="H99" i="9"/>
  <c r="H100" i="9"/>
  <c r="H96" i="9"/>
  <c r="H89" i="9"/>
  <c r="H90" i="9"/>
  <c r="H88" i="9"/>
  <c r="H79" i="9"/>
  <c r="H80" i="9"/>
  <c r="H81" i="9"/>
  <c r="H82" i="9"/>
  <c r="H78" i="9"/>
  <c r="H61" i="9"/>
  <c r="H62" i="9"/>
  <c r="H63" i="9"/>
  <c r="H60" i="9"/>
  <c r="H39" i="9"/>
  <c r="H40" i="9"/>
  <c r="H41" i="9"/>
  <c r="H42" i="9"/>
  <c r="H30" i="9"/>
  <c r="H31" i="9"/>
  <c r="H32" i="9"/>
  <c r="H29" i="9"/>
  <c r="H19" i="9"/>
  <c r="H20" i="9"/>
  <c r="H21" i="9"/>
  <c r="H22" i="9"/>
  <c r="H23" i="9"/>
  <c r="H18" i="9"/>
  <c r="H5" i="9"/>
  <c r="H6" i="9"/>
  <c r="H7" i="9"/>
  <c r="H8" i="9"/>
  <c r="H9" i="9"/>
  <c r="H10" i="9"/>
  <c r="H11" i="9"/>
  <c r="H12" i="9"/>
  <c r="H4" i="9"/>
  <c r="G171" i="8"/>
  <c r="G170" i="8"/>
  <c r="G169" i="8"/>
  <c r="G168" i="8"/>
  <c r="G167" i="8"/>
  <c r="G166" i="8"/>
  <c r="G165" i="8"/>
  <c r="G164" i="8"/>
  <c r="G163" i="8"/>
  <c r="G162" i="8"/>
  <c r="G161" i="8"/>
  <c r="G146" i="8"/>
  <c r="G147" i="8"/>
  <c r="G148" i="8"/>
  <c r="G149" i="8"/>
  <c r="G150" i="8"/>
  <c r="G151" i="8"/>
  <c r="G153" i="8"/>
  <c r="G154" i="8"/>
  <c r="G155" i="8"/>
  <c r="G145" i="8"/>
  <c r="G130" i="8"/>
  <c r="G131" i="8"/>
  <c r="G132" i="8"/>
  <c r="G133" i="8"/>
  <c r="G134" i="8"/>
  <c r="G135" i="8"/>
  <c r="G136" i="8"/>
  <c r="G137" i="8"/>
  <c r="G138" i="8"/>
  <c r="G139" i="8"/>
  <c r="G129" i="8"/>
  <c r="G115" i="8"/>
  <c r="G116" i="8"/>
  <c r="G117" i="8"/>
  <c r="G118" i="8"/>
  <c r="G119" i="8"/>
  <c r="G120" i="8"/>
  <c r="G121" i="8"/>
  <c r="G122" i="8"/>
  <c r="G123" i="8"/>
  <c r="G114" i="8"/>
  <c r="H101" i="9" l="1"/>
  <c r="H102" i="9" s="1"/>
  <c r="H73" i="9"/>
  <c r="H74" i="9" s="1"/>
  <c r="G140" i="8"/>
  <c r="G141" i="8" s="1"/>
  <c r="G156" i="8"/>
  <c r="G157" i="8" s="1"/>
  <c r="G172" i="8"/>
  <c r="G173" i="8" s="1"/>
  <c r="H9" i="11"/>
  <c r="H10" i="11" s="1"/>
  <c r="H11" i="10"/>
  <c r="H12" i="10" s="1"/>
  <c r="H64" i="9"/>
  <c r="H65" i="9" s="1"/>
  <c r="H43" i="9"/>
  <c r="H44" i="9" s="1"/>
  <c r="H33" i="9"/>
  <c r="H34" i="9" s="1"/>
  <c r="H13" i="9"/>
  <c r="H14" i="9" s="1"/>
  <c r="G124" i="8"/>
  <c r="G125" i="8" s="1"/>
  <c r="H115" i="9"/>
  <c r="H116" i="9" s="1"/>
  <c r="H55" i="9"/>
  <c r="H56" i="9" s="1"/>
  <c r="G99" i="8" l="1"/>
  <c r="G100" i="8"/>
  <c r="G101" i="8"/>
  <c r="G102" i="8"/>
  <c r="G103" i="8"/>
  <c r="G104" i="8"/>
  <c r="G105" i="8"/>
  <c r="G106" i="8"/>
  <c r="G107" i="8"/>
  <c r="G108" i="8"/>
  <c r="G98" i="8"/>
  <c r="G109" i="8" l="1"/>
  <c r="G110" i="8" s="1"/>
  <c r="G86" i="8"/>
  <c r="G87" i="8"/>
  <c r="G88" i="8"/>
  <c r="G89" i="8"/>
  <c r="G90" i="8"/>
  <c r="G91" i="8"/>
  <c r="G92" i="8"/>
  <c r="G72" i="8"/>
  <c r="G73" i="8"/>
  <c r="G74" i="8"/>
  <c r="G75" i="8"/>
  <c r="G76" i="8"/>
  <c r="G77" i="8"/>
  <c r="G79" i="8"/>
  <c r="G71" i="8"/>
  <c r="G57" i="8"/>
  <c r="G58" i="8"/>
  <c r="G59" i="8"/>
  <c r="G60" i="8"/>
  <c r="G62" i="8"/>
  <c r="G63" i="8"/>
  <c r="G65" i="8"/>
  <c r="G56" i="8"/>
  <c r="G44" i="8"/>
  <c r="G45" i="8"/>
  <c r="G46" i="8"/>
  <c r="G47" i="8"/>
  <c r="G48" i="8"/>
  <c r="G50" i="8"/>
  <c r="G43" i="8"/>
  <c r="G32" i="8"/>
  <c r="G33" i="8"/>
  <c r="G34" i="8"/>
  <c r="G35" i="8"/>
  <c r="G36" i="8"/>
  <c r="G37" i="8"/>
  <c r="G31" i="8"/>
  <c r="G51" i="8" l="1"/>
  <c r="G52" i="8" s="1"/>
  <c r="G93" i="8"/>
  <c r="G94" i="8" s="1"/>
  <c r="G80" i="8"/>
  <c r="G81" i="8" s="1"/>
  <c r="G66" i="8"/>
  <c r="G67" i="8" s="1"/>
  <c r="G38" i="8"/>
  <c r="G39" i="8" s="1"/>
  <c r="G18" i="8"/>
  <c r="G19" i="8"/>
  <c r="G20" i="8"/>
  <c r="G22" i="8"/>
  <c r="G23" i="8"/>
  <c r="G24" i="8"/>
  <c r="G17" i="8"/>
  <c r="G26" i="8" s="1"/>
  <c r="G27" i="8" s="1"/>
  <c r="E91" i="9"/>
  <c r="D91" i="9"/>
  <c r="E83" i="9"/>
  <c r="D83" i="9"/>
  <c r="C19" i="10"/>
  <c r="E17" i="11"/>
  <c r="D17" i="11"/>
  <c r="G14" i="11"/>
  <c r="H14" i="11" s="1"/>
  <c r="H91" i="9" l="1"/>
  <c r="H92" i="9" s="1"/>
  <c r="H24" i="9"/>
  <c r="H25" i="9" s="1"/>
  <c r="H83" i="9"/>
  <c r="H84" i="9" s="1"/>
  <c r="H20" i="10"/>
  <c r="H17" i="11"/>
  <c r="H18" i="11" s="1"/>
  <c r="G64" i="6" l="1"/>
  <c r="E65" i="6"/>
  <c r="D65" i="6"/>
  <c r="G50" i="7"/>
  <c r="G49" i="7"/>
  <c r="G48" i="7"/>
  <c r="G47" i="7"/>
  <c r="G125" i="7"/>
  <c r="G126" i="7"/>
  <c r="G127" i="7"/>
  <c r="G128" i="7"/>
  <c r="G129" i="7"/>
  <c r="G130" i="7"/>
  <c r="G131" i="7"/>
  <c r="G132" i="7"/>
  <c r="G124" i="7"/>
  <c r="G117" i="7"/>
  <c r="G39" i="7"/>
  <c r="G40" i="7"/>
  <c r="G41" i="7"/>
  <c r="G42" i="7"/>
  <c r="G43" i="7"/>
  <c r="G44" i="7"/>
  <c r="G45" i="7"/>
  <c r="G46" i="7"/>
  <c r="G38" i="7"/>
  <c r="G133" i="7" l="1"/>
  <c r="G134" i="7" s="1"/>
  <c r="G51" i="7"/>
  <c r="G52" i="7" s="1"/>
  <c r="G139" i="7"/>
  <c r="G140" i="7"/>
  <c r="G141" i="7"/>
  <c r="G142" i="7"/>
  <c r="G143" i="7"/>
  <c r="G144" i="7"/>
  <c r="G145" i="7"/>
  <c r="G146" i="7"/>
  <c r="G138" i="7"/>
  <c r="G73" i="7"/>
  <c r="G71" i="7"/>
  <c r="G98" i="7"/>
  <c r="G99" i="7"/>
  <c r="G100" i="7"/>
  <c r="G101" i="7"/>
  <c r="G97" i="7"/>
  <c r="G88" i="7"/>
  <c r="G89" i="7"/>
  <c r="G90" i="7"/>
  <c r="G85" i="7"/>
  <c r="G86" i="7"/>
  <c r="G87" i="7"/>
  <c r="G84" i="7"/>
  <c r="G108" i="7"/>
  <c r="G109" i="7"/>
  <c r="G110" i="7"/>
  <c r="G111" i="7"/>
  <c r="G112" i="7"/>
  <c r="G114" i="7"/>
  <c r="G115" i="7"/>
  <c r="G116" i="7"/>
  <c r="G107" i="7"/>
  <c r="G92" i="7" l="1"/>
  <c r="G93" i="7" s="1"/>
  <c r="G79" i="7"/>
  <c r="G80" i="7" s="1"/>
  <c r="G147" i="7"/>
  <c r="G148" i="7" s="1"/>
  <c r="G119" i="7"/>
  <c r="G120" i="7" s="1"/>
  <c r="G102" i="7"/>
  <c r="G103" i="7" s="1"/>
  <c r="G3" i="7"/>
  <c r="G16" i="7"/>
  <c r="G66" i="7"/>
  <c r="G67" i="7" s="1"/>
  <c r="G23" i="7"/>
  <c r="G24" i="7"/>
  <c r="G25" i="7"/>
  <c r="G26" i="7"/>
  <c r="G27" i="7"/>
  <c r="G28" i="7"/>
  <c r="G29" i="7"/>
  <c r="G30" i="7"/>
  <c r="G31" i="7"/>
  <c r="G22" i="7"/>
  <c r="G5" i="7"/>
  <c r="G6" i="7"/>
  <c r="G7" i="7"/>
  <c r="G8" i="7"/>
  <c r="G9" i="7"/>
  <c r="G10" i="7"/>
  <c r="G11" i="7"/>
  <c r="G12" i="7"/>
  <c r="G13" i="7"/>
  <c r="G14" i="7"/>
  <c r="G15" i="7"/>
  <c r="G4" i="7"/>
  <c r="G17" i="7" l="1"/>
  <c r="G18" i="7" s="1"/>
  <c r="G33" i="7"/>
  <c r="G34" i="7" s="1"/>
  <c r="G60" i="6" l="1"/>
  <c r="G61" i="6"/>
  <c r="G62" i="6"/>
  <c r="G63" i="6"/>
  <c r="G59" i="6"/>
  <c r="E54" i="6"/>
  <c r="D54" i="6"/>
  <c r="G46" i="6"/>
  <c r="G47" i="6"/>
  <c r="G48" i="6"/>
  <c r="G50" i="6"/>
  <c r="G51" i="6"/>
  <c r="G52" i="6"/>
  <c r="G53" i="6"/>
  <c r="G45" i="6"/>
  <c r="G32" i="6"/>
  <c r="G33" i="6"/>
  <c r="G34" i="6"/>
  <c r="G35" i="6"/>
  <c r="G36" i="6"/>
  <c r="G37" i="6"/>
  <c r="G38" i="6"/>
  <c r="G39" i="6"/>
  <c r="G31" i="6"/>
  <c r="E40" i="6"/>
  <c r="D40" i="6"/>
  <c r="G18" i="6"/>
  <c r="G20" i="6"/>
  <c r="G21" i="6"/>
  <c r="G22" i="6"/>
  <c r="G23" i="6"/>
  <c r="G24" i="6"/>
  <c r="G25" i="6"/>
  <c r="G17" i="6"/>
  <c r="E26" i="6"/>
  <c r="D26" i="6"/>
  <c r="E12" i="6"/>
  <c r="D12" i="6"/>
  <c r="G4" i="6"/>
  <c r="G5" i="6"/>
  <c r="G6" i="6"/>
  <c r="G7" i="6"/>
  <c r="G8" i="6"/>
  <c r="G9" i="6"/>
  <c r="G10" i="6"/>
  <c r="G11" i="6"/>
  <c r="G3" i="6"/>
  <c r="E81" i="5"/>
  <c r="D81" i="5"/>
  <c r="G72" i="5"/>
  <c r="G73" i="5"/>
  <c r="G74" i="5"/>
  <c r="G75" i="5"/>
  <c r="G76" i="5"/>
  <c r="G79" i="5"/>
  <c r="G80" i="5"/>
  <c r="G71" i="5"/>
  <c r="E66" i="5"/>
  <c r="D66" i="5"/>
  <c r="G56" i="5"/>
  <c r="G57" i="5"/>
  <c r="G58" i="5"/>
  <c r="G59" i="5"/>
  <c r="G60" i="5"/>
  <c r="G61" i="5"/>
  <c r="G62" i="5"/>
  <c r="G63" i="5"/>
  <c r="G64" i="5"/>
  <c r="G65" i="5"/>
  <c r="G55" i="5"/>
  <c r="E50" i="5"/>
  <c r="D50" i="5"/>
  <c r="G40" i="5"/>
  <c r="G41" i="5"/>
  <c r="G42" i="5"/>
  <c r="G43" i="5"/>
  <c r="G44" i="5"/>
  <c r="G45" i="5"/>
  <c r="G46" i="5"/>
  <c r="G47" i="5"/>
  <c r="G48" i="5"/>
  <c r="G49" i="5"/>
  <c r="G39" i="5"/>
  <c r="G28" i="5"/>
  <c r="G29" i="5"/>
  <c r="G30" i="5"/>
  <c r="G31" i="5"/>
  <c r="G32" i="5"/>
  <c r="G33" i="5"/>
  <c r="G27" i="5"/>
  <c r="E34" i="5"/>
  <c r="D34" i="5"/>
  <c r="E22" i="5"/>
  <c r="D22" i="5"/>
  <c r="G16" i="5"/>
  <c r="G17" i="5"/>
  <c r="G18" i="5"/>
  <c r="G19" i="5"/>
  <c r="G20" i="5"/>
  <c r="G21" i="5"/>
  <c r="G15" i="5"/>
  <c r="E10" i="5"/>
  <c r="D10" i="5"/>
  <c r="G4" i="5"/>
  <c r="G5" i="5"/>
  <c r="G6" i="5"/>
  <c r="G7" i="5"/>
  <c r="G8" i="5"/>
  <c r="G9" i="5"/>
  <c r="G3" i="5"/>
  <c r="G123" i="4"/>
  <c r="G124" i="4"/>
  <c r="G126" i="4"/>
  <c r="G127" i="4"/>
  <c r="G128" i="4"/>
  <c r="G129" i="4"/>
  <c r="G122" i="4"/>
  <c r="E130" i="4"/>
  <c r="D130" i="4"/>
  <c r="E117" i="4"/>
  <c r="D117" i="4"/>
  <c r="G107" i="4"/>
  <c r="G108" i="4"/>
  <c r="G109" i="4"/>
  <c r="G110" i="4"/>
  <c r="G111" i="4"/>
  <c r="G112" i="4"/>
  <c r="G113" i="4"/>
  <c r="G114" i="4"/>
  <c r="G115" i="4"/>
  <c r="G116" i="4"/>
  <c r="G97" i="4"/>
  <c r="E102" i="4"/>
  <c r="D102" i="4"/>
  <c r="G91" i="4"/>
  <c r="G92" i="4"/>
  <c r="G93" i="4"/>
  <c r="G94" i="4"/>
  <c r="G95" i="4"/>
  <c r="G96" i="4"/>
  <c r="G98" i="4"/>
  <c r="G99" i="4"/>
  <c r="G100" i="4"/>
  <c r="G101" i="4"/>
  <c r="G90" i="4"/>
  <c r="G74" i="4"/>
  <c r="E85" i="4"/>
  <c r="D85" i="4"/>
  <c r="G75" i="4"/>
  <c r="G76" i="4"/>
  <c r="G77" i="4"/>
  <c r="G78" i="4"/>
  <c r="G79" i="4"/>
  <c r="G80" i="4"/>
  <c r="G81" i="4"/>
  <c r="G82" i="4"/>
  <c r="G83" i="4"/>
  <c r="G84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E69" i="4"/>
  <c r="D69" i="4"/>
  <c r="G40" i="4"/>
  <c r="G41" i="4"/>
  <c r="G42" i="4"/>
  <c r="G43" i="4"/>
  <c r="G44" i="4"/>
  <c r="G45" i="4"/>
  <c r="G46" i="4"/>
  <c r="G47" i="4"/>
  <c r="G48" i="4"/>
  <c r="G49" i="4"/>
  <c r="G50" i="4"/>
  <c r="E51" i="4"/>
  <c r="D51" i="4"/>
  <c r="G23" i="4"/>
  <c r="G24" i="4"/>
  <c r="G25" i="4"/>
  <c r="G26" i="4"/>
  <c r="G27" i="4"/>
  <c r="G28" i="4"/>
  <c r="G29" i="4"/>
  <c r="G30" i="4"/>
  <c r="G31" i="4"/>
  <c r="G32" i="4"/>
  <c r="G33" i="4"/>
  <c r="G22" i="4"/>
  <c r="E35" i="4"/>
  <c r="E82" i="3"/>
  <c r="E95" i="3"/>
  <c r="E108" i="3"/>
  <c r="E137" i="3"/>
  <c r="E151" i="3"/>
  <c r="G4" i="4"/>
  <c r="G16" i="4" s="1"/>
  <c r="E55" i="3"/>
  <c r="E69" i="2"/>
  <c r="D69" i="2"/>
  <c r="D151" i="3"/>
  <c r="G143" i="3"/>
  <c r="G144" i="3"/>
  <c r="G145" i="3"/>
  <c r="G146" i="3"/>
  <c r="G147" i="3"/>
  <c r="G148" i="3"/>
  <c r="G149" i="3"/>
  <c r="G150" i="3"/>
  <c r="G129" i="3"/>
  <c r="G130" i="3"/>
  <c r="G131" i="3"/>
  <c r="G132" i="3"/>
  <c r="G133" i="3"/>
  <c r="G134" i="3"/>
  <c r="G135" i="3"/>
  <c r="G136" i="3"/>
  <c r="G128" i="3"/>
  <c r="D137" i="3"/>
  <c r="G114" i="3"/>
  <c r="G115" i="3"/>
  <c r="G116" i="3"/>
  <c r="G117" i="3"/>
  <c r="G118" i="3"/>
  <c r="G119" i="3"/>
  <c r="G120" i="3"/>
  <c r="G121" i="3"/>
  <c r="G122" i="3"/>
  <c r="G113" i="3"/>
  <c r="E123" i="3"/>
  <c r="D123" i="3"/>
  <c r="D108" i="3"/>
  <c r="G101" i="3"/>
  <c r="G102" i="3"/>
  <c r="G103" i="3"/>
  <c r="G104" i="3"/>
  <c r="G105" i="3"/>
  <c r="G106" i="3"/>
  <c r="G100" i="3"/>
  <c r="G88" i="3"/>
  <c r="G89" i="3"/>
  <c r="G90" i="3"/>
  <c r="G91" i="3"/>
  <c r="G92" i="3"/>
  <c r="G93" i="3"/>
  <c r="G94" i="3"/>
  <c r="G87" i="3"/>
  <c r="D95" i="3"/>
  <c r="G76" i="3"/>
  <c r="G77" i="3"/>
  <c r="G78" i="3"/>
  <c r="G79" i="3"/>
  <c r="G80" i="3"/>
  <c r="G81" i="3"/>
  <c r="G75" i="3"/>
  <c r="D82" i="3"/>
  <c r="G61" i="3"/>
  <c r="G62" i="3"/>
  <c r="G63" i="3"/>
  <c r="G64" i="3"/>
  <c r="G65" i="3"/>
  <c r="G66" i="3"/>
  <c r="G67" i="3"/>
  <c r="G68" i="3"/>
  <c r="G69" i="3"/>
  <c r="G60" i="3"/>
  <c r="D55" i="3"/>
  <c r="E70" i="3"/>
  <c r="D70" i="3"/>
  <c r="G47" i="3"/>
  <c r="G48" i="3"/>
  <c r="G49" i="3"/>
  <c r="G50" i="3"/>
  <c r="G51" i="3"/>
  <c r="G52" i="3"/>
  <c r="G53" i="3"/>
  <c r="G54" i="3"/>
  <c r="G45" i="3"/>
  <c r="G31" i="3"/>
  <c r="G32" i="3"/>
  <c r="G33" i="3"/>
  <c r="G34" i="3"/>
  <c r="G35" i="3"/>
  <c r="G36" i="3"/>
  <c r="G37" i="3"/>
  <c r="G38" i="3"/>
  <c r="G39" i="3"/>
  <c r="G30" i="3"/>
  <c r="E40" i="3"/>
  <c r="D40" i="3"/>
  <c r="G65" i="6" l="1"/>
  <c r="G50" i="5"/>
  <c r="G51" i="5" s="1"/>
  <c r="G66" i="5"/>
  <c r="G67" i="5" s="1"/>
  <c r="G35" i="4"/>
  <c r="G85" i="4"/>
  <c r="G86" i="4" s="1"/>
  <c r="G130" i="4"/>
  <c r="G131" i="4" s="1"/>
  <c r="G102" i="4"/>
  <c r="G103" i="4" s="1"/>
  <c r="G81" i="5"/>
  <c r="G82" i="5" s="1"/>
  <c r="G54" i="6"/>
  <c r="G55" i="6" s="1"/>
  <c r="G40" i="6"/>
  <c r="G41" i="6" s="1"/>
  <c r="G12" i="6"/>
  <c r="G13" i="6" s="1"/>
  <c r="G66" i="6"/>
  <c r="G26" i="6"/>
  <c r="G27" i="6" s="1"/>
  <c r="G34" i="5"/>
  <c r="G35" i="5" s="1"/>
  <c r="G22" i="5"/>
  <c r="G23" i="5" s="1"/>
  <c r="G10" i="5"/>
  <c r="G11" i="5" s="1"/>
  <c r="G117" i="4"/>
  <c r="G118" i="4" s="1"/>
  <c r="G69" i="4"/>
  <c r="G70" i="4" s="1"/>
  <c r="G51" i="4"/>
  <c r="G52" i="4" s="1"/>
  <c r="G36" i="4"/>
  <c r="G17" i="4"/>
  <c r="G40" i="3"/>
  <c r="G41" i="3" s="1"/>
  <c r="G82" i="3"/>
  <c r="G83" i="3" s="1"/>
  <c r="G151" i="3"/>
  <c r="G152" i="3" s="1"/>
  <c r="G137" i="3"/>
  <c r="G138" i="3" s="1"/>
  <c r="G123" i="3"/>
  <c r="G124" i="3" s="1"/>
  <c r="G108" i="3"/>
  <c r="G109" i="3" s="1"/>
  <c r="G95" i="3"/>
  <c r="G96" i="3" s="1"/>
  <c r="G70" i="3"/>
  <c r="G71" i="3" s="1"/>
  <c r="G55" i="3"/>
  <c r="G56" i="3" s="1"/>
  <c r="G19" i="3"/>
  <c r="G20" i="3"/>
  <c r="G21" i="3"/>
  <c r="G22" i="3"/>
  <c r="G23" i="3"/>
  <c r="G24" i="3"/>
  <c r="G18" i="3"/>
  <c r="E25" i="3"/>
  <c r="D25" i="3"/>
  <c r="E13" i="3"/>
  <c r="G4" i="3"/>
  <c r="G7" i="3"/>
  <c r="G9" i="3"/>
  <c r="G10" i="3"/>
  <c r="G11" i="3"/>
  <c r="G12" i="3"/>
  <c r="G3" i="3"/>
  <c r="G63" i="2"/>
  <c r="G64" i="2"/>
  <c r="G65" i="2"/>
  <c r="G66" i="2"/>
  <c r="G67" i="2"/>
  <c r="G68" i="2"/>
  <c r="G62" i="2"/>
  <c r="G50" i="2"/>
  <c r="G51" i="2"/>
  <c r="G52" i="2"/>
  <c r="G53" i="2"/>
  <c r="G54" i="2"/>
  <c r="G55" i="2"/>
  <c r="G56" i="2"/>
  <c r="G49" i="2"/>
  <c r="E57" i="2"/>
  <c r="D57" i="2"/>
  <c r="G39" i="2"/>
  <c r="E44" i="2"/>
  <c r="D44" i="2"/>
  <c r="G40" i="2"/>
  <c r="G41" i="2"/>
  <c r="G42" i="2"/>
  <c r="G43" i="2"/>
  <c r="G26" i="2"/>
  <c r="G27" i="2"/>
  <c r="G28" i="2"/>
  <c r="G29" i="2"/>
  <c r="G30" i="2"/>
  <c r="G31" i="2"/>
  <c r="G32" i="2"/>
  <c r="G33" i="2"/>
  <c r="G25" i="2"/>
  <c r="E20" i="2"/>
  <c r="E34" i="2"/>
  <c r="D34" i="2"/>
  <c r="D20" i="2"/>
  <c r="G19" i="2"/>
  <c r="G18" i="2"/>
  <c r="G16" i="2"/>
  <c r="G15" i="2"/>
  <c r="G20" i="2" s="1"/>
  <c r="G21" i="2" s="1"/>
  <c r="G4" i="2"/>
  <c r="G5" i="2"/>
  <c r="G6" i="2"/>
  <c r="G7" i="2"/>
  <c r="G8" i="2"/>
  <c r="G9" i="2"/>
  <c r="G3" i="2"/>
  <c r="E10" i="2"/>
  <c r="D10" i="2"/>
  <c r="G135" i="1"/>
  <c r="G136" i="1"/>
  <c r="G137" i="1"/>
  <c r="G138" i="1"/>
  <c r="G139" i="1"/>
  <c r="G140" i="1"/>
  <c r="G141" i="1"/>
  <c r="G134" i="1"/>
  <c r="E142" i="1"/>
  <c r="D142" i="1"/>
  <c r="E129" i="1"/>
  <c r="D129" i="1"/>
  <c r="G124" i="1"/>
  <c r="G125" i="1"/>
  <c r="G126" i="1"/>
  <c r="G127" i="1"/>
  <c r="G128" i="1"/>
  <c r="G123" i="1"/>
  <c r="G111" i="1"/>
  <c r="G109" i="1"/>
  <c r="G110" i="1"/>
  <c r="G112" i="1"/>
  <c r="G113" i="1"/>
  <c r="G114" i="1"/>
  <c r="G115" i="1"/>
  <c r="G116" i="1"/>
  <c r="G117" i="1"/>
  <c r="G108" i="1"/>
  <c r="E118" i="1"/>
  <c r="D118" i="1"/>
  <c r="G98" i="1"/>
  <c r="G93" i="1"/>
  <c r="G94" i="1"/>
  <c r="G95" i="1"/>
  <c r="G96" i="1"/>
  <c r="G97" i="1"/>
  <c r="G99" i="1"/>
  <c r="G100" i="1"/>
  <c r="G101" i="1"/>
  <c r="G102" i="1"/>
  <c r="G92" i="1"/>
  <c r="E103" i="1"/>
  <c r="D103" i="1"/>
  <c r="G80" i="1"/>
  <c r="G81" i="1"/>
  <c r="G82" i="1"/>
  <c r="G83" i="1"/>
  <c r="G84" i="1"/>
  <c r="G86" i="1"/>
  <c r="G79" i="1"/>
  <c r="G50" i="1"/>
  <c r="E87" i="1"/>
  <c r="D87" i="1"/>
  <c r="G66" i="1"/>
  <c r="G67" i="1"/>
  <c r="G68" i="1"/>
  <c r="G69" i="1"/>
  <c r="G70" i="1"/>
  <c r="G71" i="1"/>
  <c r="G72" i="1"/>
  <c r="G73" i="1"/>
  <c r="G64" i="1"/>
  <c r="E74" i="1"/>
  <c r="D74" i="1"/>
  <c r="G51" i="1"/>
  <c r="G52" i="1"/>
  <c r="G53" i="1"/>
  <c r="G54" i="1"/>
  <c r="G55" i="1"/>
  <c r="G56" i="1"/>
  <c r="G58" i="1"/>
  <c r="G49" i="1"/>
  <c r="E59" i="1"/>
  <c r="D59" i="1"/>
  <c r="G36" i="1"/>
  <c r="G37" i="1"/>
  <c r="G38" i="1"/>
  <c r="G39" i="1"/>
  <c r="G40" i="1"/>
  <c r="G35" i="1"/>
  <c r="E30" i="1"/>
  <c r="D30" i="1"/>
  <c r="G24" i="1"/>
  <c r="G27" i="1"/>
  <c r="G29" i="1"/>
  <c r="G28" i="1"/>
  <c r="G26" i="1"/>
  <c r="G25" i="1"/>
  <c r="G14" i="1"/>
  <c r="G15" i="1"/>
  <c r="G16" i="1"/>
  <c r="G17" i="1"/>
  <c r="G18" i="1"/>
  <c r="G13" i="1"/>
  <c r="E19" i="1"/>
  <c r="D19" i="1"/>
  <c r="G4" i="1"/>
  <c r="G5" i="1"/>
  <c r="G6" i="1"/>
  <c r="G7" i="1"/>
  <c r="G3" i="1"/>
  <c r="E8" i="1"/>
  <c r="D8" i="1"/>
  <c r="G13" i="3" l="1"/>
  <c r="G74" i="1"/>
  <c r="G75" i="1" s="1"/>
  <c r="G10" i="2"/>
  <c r="G11" i="2" s="1"/>
  <c r="G25" i="3"/>
  <c r="G26" i="3" s="1"/>
  <c r="G14" i="3"/>
  <c r="G69" i="2"/>
  <c r="G70" i="2" s="1"/>
  <c r="G57" i="2"/>
  <c r="G58" i="2" s="1"/>
  <c r="G44" i="2"/>
  <c r="G45" i="2" s="1"/>
  <c r="G34" i="2"/>
  <c r="G35" i="2" s="1"/>
  <c r="G142" i="1"/>
  <c r="G143" i="1" s="1"/>
  <c r="G129" i="1"/>
  <c r="G130" i="1" s="1"/>
  <c r="G118" i="1"/>
  <c r="G119" i="1" s="1"/>
  <c r="G103" i="1"/>
  <c r="G104" i="1" s="1"/>
  <c r="G87" i="1"/>
  <c r="G88" i="1" s="1"/>
  <c r="G59" i="1"/>
  <c r="G60" i="1" s="1"/>
  <c r="G44" i="1"/>
  <c r="G45" i="1" s="1"/>
  <c r="G30" i="1"/>
  <c r="G31" i="1" s="1"/>
  <c r="G19" i="1"/>
  <c r="G20" i="1" s="1"/>
  <c r="G8" i="1"/>
  <c r="G9" i="1" s="1"/>
</calcChain>
</file>

<file path=xl/sharedStrings.xml><?xml version="1.0" encoding="utf-8"?>
<sst xmlns="http://schemas.openxmlformats.org/spreadsheetml/2006/main" count="3422" uniqueCount="928">
  <si>
    <t>Наименование продукта</t>
  </si>
  <si>
    <t>Ед-изм</t>
  </si>
  <si>
    <t xml:space="preserve">Брутто </t>
  </si>
  <si>
    <t xml:space="preserve">Нетто </t>
  </si>
  <si>
    <t>Молоко 3,2%</t>
  </si>
  <si>
    <t>Гр</t>
  </si>
  <si>
    <t>Крупа овсяная</t>
  </si>
  <si>
    <t>Сахар</t>
  </si>
  <si>
    <t>Соль</t>
  </si>
  <si>
    <t>Масло сливочное</t>
  </si>
  <si>
    <t>Выход:</t>
  </si>
  <si>
    <t>Каша овсяная</t>
  </si>
  <si>
    <t>№</t>
  </si>
  <si>
    <t>Ст-ть продуктов в кг</t>
  </si>
  <si>
    <t>цена в меню</t>
  </si>
  <si>
    <t>Себес продуктов в сомах</t>
  </si>
  <si>
    <t>Каша рисовая</t>
  </si>
  <si>
    <t>Вода</t>
  </si>
  <si>
    <t>наценка 5</t>
  </si>
  <si>
    <t>Крупа гречневая</t>
  </si>
  <si>
    <t>наценка 4,3</t>
  </si>
  <si>
    <t>Май токоч п/ф</t>
  </si>
  <si>
    <t>Сары май</t>
  </si>
  <si>
    <t>Чобого</t>
  </si>
  <si>
    <t>Каймак</t>
  </si>
  <si>
    <t>Сыр брынза</t>
  </si>
  <si>
    <t>Чучук п/ф</t>
  </si>
  <si>
    <t>Национальный завтрак</t>
  </si>
  <si>
    <t>наценка 3</t>
  </si>
  <si>
    <t>наценка 2,5</t>
  </si>
  <si>
    <t>Яйцо болтунья</t>
  </si>
  <si>
    <t>Семга копченая</t>
  </si>
  <si>
    <t>Микс салат п/ф</t>
  </si>
  <si>
    <t>Авокадо</t>
  </si>
  <si>
    <t>Помидоры черри</t>
  </si>
  <si>
    <t>Огурцы</t>
  </si>
  <si>
    <t>Сыр креметта</t>
  </si>
  <si>
    <t>Масло растительное</t>
  </si>
  <si>
    <t>Лимон</t>
  </si>
  <si>
    <t>Ст-ть продуктов за кг</t>
  </si>
  <si>
    <t>Фирменный завтрак</t>
  </si>
  <si>
    <t>Симмит п/ф</t>
  </si>
  <si>
    <t>Яйцо варенная</t>
  </si>
  <si>
    <t>Маслины</t>
  </si>
  <si>
    <t>Мед</t>
  </si>
  <si>
    <t>джем</t>
  </si>
  <si>
    <t>Ягоды свежие</t>
  </si>
  <si>
    <t>Турецкий завтрак</t>
  </si>
  <si>
    <t>Тостерный хлеб</t>
  </si>
  <si>
    <t>Яйцо глазунья</t>
  </si>
  <si>
    <t>Соус бешамель п/ф</t>
  </si>
  <si>
    <t>Жая</t>
  </si>
  <si>
    <t>Сыр чеддер</t>
  </si>
  <si>
    <t>Микс салата п/ф</t>
  </si>
  <si>
    <t>Крок Мадам</t>
  </si>
  <si>
    <t>Вяленные томаты</t>
  </si>
  <si>
    <t>Соус голландез/сырный</t>
  </si>
  <si>
    <t>Яйцо куринное</t>
  </si>
  <si>
    <t>Уксус</t>
  </si>
  <si>
    <t>Бенедикт с семгой</t>
  </si>
  <si>
    <t>наценка 2</t>
  </si>
  <si>
    <t>Творог обезжиренный</t>
  </si>
  <si>
    <t>Сметана</t>
  </si>
  <si>
    <t>Банан</t>
  </si>
  <si>
    <t>Яйцо</t>
  </si>
  <si>
    <t>Мука</t>
  </si>
  <si>
    <t>Сахарная пудра</t>
  </si>
  <si>
    <t>Миндальные лепестки</t>
  </si>
  <si>
    <t>мята</t>
  </si>
  <si>
    <t>Блины п/ф</t>
  </si>
  <si>
    <t>Блины с творогом</t>
  </si>
  <si>
    <t>Рис</t>
  </si>
  <si>
    <t>Каша гречневая</t>
  </si>
  <si>
    <t>Яблоко</t>
  </si>
  <si>
    <t>Миндаль</t>
  </si>
  <si>
    <t>Форель копченая</t>
  </si>
  <si>
    <t>Руккола</t>
  </si>
  <si>
    <t>Крем бальзамический</t>
  </si>
  <si>
    <t>Микрозелень</t>
  </si>
  <si>
    <t>Брускета с форелью</t>
  </si>
  <si>
    <t>Салат Цезарь п/Ф</t>
  </si>
  <si>
    <t>Сыр пармезан</t>
  </si>
  <si>
    <t>Брускета "Цезарь"</t>
  </si>
  <si>
    <t>Сыр дор блю</t>
  </si>
  <si>
    <t>Сыр бри</t>
  </si>
  <si>
    <t>Сыр мрамор</t>
  </si>
  <si>
    <t>Фисташки</t>
  </si>
  <si>
    <t>Мед в сотах</t>
  </si>
  <si>
    <t>Орех грецкий</t>
  </si>
  <si>
    <t>Виноград</t>
  </si>
  <si>
    <t>Сырная симфония</t>
  </si>
  <si>
    <t>Сыр Буратты</t>
  </si>
  <si>
    <t>Томаты черри разноцветные</t>
  </si>
  <si>
    <t>Соус песто</t>
  </si>
  <si>
    <t>Орех кедровый</t>
  </si>
  <si>
    <t>Каприз Буратты</t>
  </si>
  <si>
    <t>Говяжий язык отварной</t>
  </si>
  <si>
    <t>Ростбиф</t>
  </si>
  <si>
    <t>Куриный рулет копченый</t>
  </si>
  <si>
    <t>Утиная грудка копченая</t>
  </si>
  <si>
    <t>Бастурма</t>
  </si>
  <si>
    <t>Багет п/ф</t>
  </si>
  <si>
    <t>Корнишоны</t>
  </si>
  <si>
    <t>Мясное ассорти</t>
  </si>
  <si>
    <t>Помидоры</t>
  </si>
  <si>
    <t>Перец болгарский</t>
  </si>
  <si>
    <t>Редис</t>
  </si>
  <si>
    <t>Зелень</t>
  </si>
  <si>
    <t>Овощное ассорти</t>
  </si>
  <si>
    <t>Айсберг</t>
  </si>
  <si>
    <t>Листья салата</t>
  </si>
  <si>
    <t>гр</t>
  </si>
  <si>
    <t>Филе форели</t>
  </si>
  <si>
    <t>Тостер хлеб</t>
  </si>
  <si>
    <t xml:space="preserve">Лимон </t>
  </si>
  <si>
    <t xml:space="preserve">Оливковое масло </t>
  </si>
  <si>
    <t>Уксус85%</t>
  </si>
  <si>
    <t>соль</t>
  </si>
  <si>
    <t>Куриное филе</t>
  </si>
  <si>
    <t xml:space="preserve">Айсберг </t>
  </si>
  <si>
    <t>Салат листья</t>
  </si>
  <si>
    <t>Сухарики (гренки)</t>
  </si>
  <si>
    <t>Сыр Пармезан</t>
  </si>
  <si>
    <t>Соус Цезарь п/ф</t>
  </si>
  <si>
    <t>Цезарь с курицей</t>
  </si>
  <si>
    <t>Микс салат п/Ф</t>
  </si>
  <si>
    <t xml:space="preserve">Кальмары </t>
  </si>
  <si>
    <t>Масло оливковое</t>
  </si>
  <si>
    <t>Соус лимонный</t>
  </si>
  <si>
    <t>Кунжут</t>
  </si>
  <si>
    <t>Специи</t>
  </si>
  <si>
    <t>Горчица</t>
  </si>
  <si>
    <t>Средиземноморский бриз</t>
  </si>
  <si>
    <t xml:space="preserve">Бон филе </t>
  </si>
  <si>
    <t xml:space="preserve">Листья салата </t>
  </si>
  <si>
    <t xml:space="preserve">Шпинат </t>
  </si>
  <si>
    <t>Мёд</t>
  </si>
  <si>
    <t>специи</t>
  </si>
  <si>
    <t>Оливковое масло</t>
  </si>
  <si>
    <t>Телятина со шпинатом.</t>
  </si>
  <si>
    <t>масло оливковое</t>
  </si>
  <si>
    <t>руккола</t>
  </si>
  <si>
    <t>лолло россо</t>
  </si>
  <si>
    <t>Форель филе</t>
  </si>
  <si>
    <t>лимон (товар)</t>
  </si>
  <si>
    <t xml:space="preserve">лимонный сок </t>
  </si>
  <si>
    <t>грейпрфукт</t>
  </si>
  <si>
    <t>кунжут</t>
  </si>
  <si>
    <t>Микс зелени с форелью</t>
  </si>
  <si>
    <t>Баклажан</t>
  </si>
  <si>
    <t xml:space="preserve">Помидоры </t>
  </si>
  <si>
    <t>Крахмал кукурузный</t>
  </si>
  <si>
    <t>Соус(Sweet chili)</t>
  </si>
  <si>
    <t>Зелень(кинза)</t>
  </si>
  <si>
    <t>Хрустящие баклажаны</t>
  </si>
  <si>
    <t>Сыр моцарелла в рассоле</t>
  </si>
  <si>
    <t>Сухари панировочные</t>
  </si>
  <si>
    <t>Шпинат</t>
  </si>
  <si>
    <t>Сок лимонный)</t>
  </si>
  <si>
    <t>Салат с хрустящей моцареллой</t>
  </si>
  <si>
    <t>Язык отварной</t>
  </si>
  <si>
    <t>Редька зеленая</t>
  </si>
  <si>
    <t>Лук репчатый</t>
  </si>
  <si>
    <t>майонез</t>
  </si>
  <si>
    <t>кинза</t>
  </si>
  <si>
    <t>уксус</t>
  </si>
  <si>
    <t>Яйцо пепелиное</t>
  </si>
  <si>
    <t>наценка 4</t>
  </si>
  <si>
    <t>Ташкент</t>
  </si>
  <si>
    <t>Лук красный</t>
  </si>
  <si>
    <t>помидоры</t>
  </si>
  <si>
    <t>чеснок</t>
  </si>
  <si>
    <t>Соус соевый</t>
  </si>
  <si>
    <t>Соус устричный</t>
  </si>
  <si>
    <t>Соус чили</t>
  </si>
  <si>
    <t>Восточный</t>
  </si>
  <si>
    <t>Сладкий перец</t>
  </si>
  <si>
    <t>Красный лук</t>
  </si>
  <si>
    <t>Сыр Фета</t>
  </si>
  <si>
    <t xml:space="preserve">Маслины </t>
  </si>
  <si>
    <t>Греческий</t>
  </si>
  <si>
    <t>Микс зелени п/ф</t>
  </si>
  <si>
    <t>Куриная грудка отварная</t>
  </si>
  <si>
    <t>Легкость</t>
  </si>
  <si>
    <t>Сырники с бананом и клубникой- 4шт по 0,050гр</t>
  </si>
  <si>
    <t xml:space="preserve">3шт </t>
  </si>
  <si>
    <t>Булочка для бургера</t>
  </si>
  <si>
    <t>шт</t>
  </si>
  <si>
    <t>Картофель фри</t>
  </si>
  <si>
    <t>горчица</t>
  </si>
  <si>
    <t>корнишоны</t>
  </si>
  <si>
    <t>Форель котлет п/ф</t>
  </si>
  <si>
    <t>Сок лимонный</t>
  </si>
  <si>
    <t>айсберг</t>
  </si>
  <si>
    <t>Сыр моцарелла</t>
  </si>
  <si>
    <t>Фирменный бургер с форелью Pink Burger</t>
  </si>
  <si>
    <t>Котлета из говядины п/ф</t>
  </si>
  <si>
    <t>Соус барбекю</t>
  </si>
  <si>
    <t>Бургер с телятиной Black Burger</t>
  </si>
  <si>
    <t>Куриная грудка</t>
  </si>
  <si>
    <t>Яйцо куриное</t>
  </si>
  <si>
    <t>Бургер с курицей</t>
  </si>
  <si>
    <t>Творожный боул с ягодами</t>
  </si>
  <si>
    <t>Чиабата 0,5</t>
  </si>
  <si>
    <t>Кабачки</t>
  </si>
  <si>
    <t>Баклажаны</t>
  </si>
  <si>
    <t>базилик</t>
  </si>
  <si>
    <t>Гриль Верде(сендвич из печи с овощами на гриле)</t>
  </si>
  <si>
    <t>Форель</t>
  </si>
  <si>
    <t>Лимонный сок</t>
  </si>
  <si>
    <t>лимон</t>
  </si>
  <si>
    <t>Смок Лосось(сендвич из печи с форелью)</t>
  </si>
  <si>
    <t>хлеб тостерный</t>
  </si>
  <si>
    <t>куриная грудка</t>
  </si>
  <si>
    <t>масло растительное</t>
  </si>
  <si>
    <t>перец черный</t>
  </si>
  <si>
    <t>листья салата</t>
  </si>
  <si>
    <t>яйцо куринное 1шт.</t>
  </si>
  <si>
    <t xml:space="preserve">масло растительное </t>
  </si>
  <si>
    <t>картофель Фри (товар)</t>
  </si>
  <si>
    <t>кетчуп (товар)</t>
  </si>
  <si>
    <t>Клаб сендвич с курицей гриль</t>
  </si>
  <si>
    <t>Соус Цезарь</t>
  </si>
  <si>
    <t>Капуста айсберг</t>
  </si>
  <si>
    <t>Клаб сендвич с семгой</t>
  </si>
  <si>
    <t>Куриные крылышки</t>
  </si>
  <si>
    <t>Панировочные сухари</t>
  </si>
  <si>
    <t>0,5шт</t>
  </si>
  <si>
    <t>мука</t>
  </si>
  <si>
    <t>зелень</t>
  </si>
  <si>
    <t>Хрустящие куриные крылышки</t>
  </si>
  <si>
    <t>Тесто для пиццы п/ф</t>
  </si>
  <si>
    <t>Соус пиццы п/ф</t>
  </si>
  <si>
    <t>Сыр сулугуни</t>
  </si>
  <si>
    <t>Колбаса Пепперони</t>
  </si>
  <si>
    <t>Базилик</t>
  </si>
  <si>
    <t>Пицца Пепперони</t>
  </si>
  <si>
    <t>Соус сливки</t>
  </si>
  <si>
    <t>шпинат</t>
  </si>
  <si>
    <t>Пицца куриная со шпинатом</t>
  </si>
  <si>
    <t>Пицца Маргарита</t>
  </si>
  <si>
    <t>Креветки</t>
  </si>
  <si>
    <t>Ананас консервированный</t>
  </si>
  <si>
    <t>Кукуруза консервированная</t>
  </si>
  <si>
    <t>Экзотика</t>
  </si>
  <si>
    <t>Соус Терияки</t>
  </si>
  <si>
    <t>Терияки</t>
  </si>
  <si>
    <t>Сыр дорблю</t>
  </si>
  <si>
    <t>4 сыра</t>
  </si>
  <si>
    <t>Паста тальятелла сухая</t>
  </si>
  <si>
    <t>Морской коктейль зм</t>
  </si>
  <si>
    <t>Сливки</t>
  </si>
  <si>
    <t>Морской дар</t>
  </si>
  <si>
    <t>Паста фетучини сухая</t>
  </si>
  <si>
    <t>кабачки</t>
  </si>
  <si>
    <t>Спагетти с телятиной</t>
  </si>
  <si>
    <t>Паста спагетти сухая</t>
  </si>
  <si>
    <t>Бон филе</t>
  </si>
  <si>
    <t>Помидоры вяленные в масле</t>
  </si>
  <si>
    <t>Грибы шампиньоны</t>
  </si>
  <si>
    <t>Фетучини Альфредо</t>
  </si>
  <si>
    <t>Соус Болоньезе П/Ф</t>
  </si>
  <si>
    <t>Спагетти с Болоньезе</t>
  </si>
  <si>
    <t>морковь</t>
  </si>
  <si>
    <t>лук репчатый</t>
  </si>
  <si>
    <t>соус соевый</t>
  </si>
  <si>
    <t>грибы шампиньоны</t>
  </si>
  <si>
    <t>соус кимчи</t>
  </si>
  <si>
    <t>проверен</t>
  </si>
  <si>
    <t>Куриный суп с лапшой</t>
  </si>
  <si>
    <t>зелень(укроп, петрушка)</t>
  </si>
  <si>
    <t>куриные криссталики</t>
  </si>
  <si>
    <t>Чечевичный крем-суп</t>
  </si>
  <si>
    <t>чечевица</t>
  </si>
  <si>
    <t xml:space="preserve">сливки </t>
  </si>
  <si>
    <t>мята (товар)</t>
  </si>
  <si>
    <t>приправа универсальная</t>
  </si>
  <si>
    <t>тост хлеб</t>
  </si>
  <si>
    <t>Шорпо баранина</t>
  </si>
  <si>
    <t>картофель</t>
  </si>
  <si>
    <t>зелень:лук зел, петр, кинза…</t>
  </si>
  <si>
    <t>брокколи</t>
  </si>
  <si>
    <t>Пельмени  п\ф</t>
  </si>
  <si>
    <t>сметана</t>
  </si>
  <si>
    <t>бульон говяж</t>
  </si>
  <si>
    <t>масло сливочное</t>
  </si>
  <si>
    <t xml:space="preserve">капуста цветная </t>
  </si>
  <si>
    <t>вода</t>
  </si>
  <si>
    <t>тыква</t>
  </si>
  <si>
    <t xml:space="preserve">тыквенные семечки </t>
  </si>
  <si>
    <t>тимьян</t>
  </si>
  <si>
    <t>сок томатный</t>
  </si>
  <si>
    <t>говядина</t>
  </si>
  <si>
    <t>перец</t>
  </si>
  <si>
    <t>фасоль консерв</t>
  </si>
  <si>
    <t>кукуруза консерв</t>
  </si>
  <si>
    <t>бульон костный</t>
  </si>
  <si>
    <t>шампиньоны</t>
  </si>
  <si>
    <t>имбирь</t>
  </si>
  <si>
    <t>паста том ям</t>
  </si>
  <si>
    <t>помидоры черри</t>
  </si>
  <si>
    <t>молоко кокосовое</t>
  </si>
  <si>
    <t>лапша п/ф</t>
  </si>
  <si>
    <t>рис на пару п/ф</t>
  </si>
  <si>
    <t>Том Ям</t>
  </si>
  <si>
    <t>бульон куриный п/ф</t>
  </si>
  <si>
    <t>форель</t>
  </si>
  <si>
    <t>соус рыбный</t>
  </si>
  <si>
    <t>лайм</t>
  </si>
  <si>
    <t>Чучвара</t>
  </si>
  <si>
    <t>Шорпо говядина</t>
  </si>
  <si>
    <t>Тыквенный крем суп</t>
  </si>
  <si>
    <t>хлеб для сухарей</t>
  </si>
  <si>
    <t>Аргентинский</t>
  </si>
  <si>
    <t>специи,бадьян</t>
  </si>
  <si>
    <t>куриное бедро</t>
  </si>
  <si>
    <t>Крем суп с брокколи и цветной капустой</t>
  </si>
  <si>
    <t>хлеб тостер</t>
  </si>
  <si>
    <t>сливки</t>
  </si>
  <si>
    <t>лук</t>
  </si>
  <si>
    <t>колбаски охотничие</t>
  </si>
  <si>
    <t>Фруктовая тарелка   (нарезка)</t>
  </si>
  <si>
    <t>яблоки</t>
  </si>
  <si>
    <t>апельсин</t>
  </si>
  <si>
    <t>киви</t>
  </si>
  <si>
    <t>виноград</t>
  </si>
  <si>
    <t>мед</t>
  </si>
  <si>
    <t>украшение: мята (товар)</t>
  </si>
  <si>
    <t>сахарная пудра</t>
  </si>
  <si>
    <t>Выход: 400гр.</t>
  </si>
  <si>
    <t>Мороженое в ассортименте</t>
  </si>
  <si>
    <t>мороженое в ассортименте</t>
  </si>
  <si>
    <t>шоколад</t>
  </si>
  <si>
    <t>Выход: 150гр.</t>
  </si>
  <si>
    <t>Чак-чак</t>
  </si>
  <si>
    <t>мука в\с</t>
  </si>
  <si>
    <t>сгущёнка</t>
  </si>
  <si>
    <t>изюм светлый</t>
  </si>
  <si>
    <t>изюм черный</t>
  </si>
  <si>
    <t xml:space="preserve">орех грецкий </t>
  </si>
  <si>
    <t>Выход: 150гр</t>
  </si>
  <si>
    <t>Хлебная корзина</t>
  </si>
  <si>
    <t>Припущенные овощи</t>
  </si>
  <si>
    <t>капуста цветная</t>
  </si>
  <si>
    <t>зелень:лук зел,петр,кинза...</t>
  </si>
  <si>
    <t>Цветная капуста в кляре</t>
  </si>
  <si>
    <t>кляр п\ф</t>
  </si>
  <si>
    <t>Сливочное картофельное пюре</t>
  </si>
  <si>
    <t xml:space="preserve">молоко </t>
  </si>
  <si>
    <t>Картофельные дольки</t>
  </si>
  <si>
    <t>картофель долки п/ф</t>
  </si>
  <si>
    <t>масло  растительное</t>
  </si>
  <si>
    <t>укроп</t>
  </si>
  <si>
    <t>кетчуп</t>
  </si>
  <si>
    <t>Обжаренная капуста брокколи</t>
  </si>
  <si>
    <t>сыр пармезан</t>
  </si>
  <si>
    <t>Рис на пару</t>
  </si>
  <si>
    <t>рис</t>
  </si>
  <si>
    <t>Гречка на пару</t>
  </si>
  <si>
    <t>гречка</t>
  </si>
  <si>
    <t>кукуруза</t>
  </si>
  <si>
    <t>зеленый горошек</t>
  </si>
  <si>
    <t xml:space="preserve">Дорадо </t>
  </si>
  <si>
    <t>Дорадо</t>
  </si>
  <si>
    <t>розмарин</t>
  </si>
  <si>
    <t>специи санта мария</t>
  </si>
  <si>
    <t>форель токт.крупная</t>
  </si>
  <si>
    <t>специи Санта мария</t>
  </si>
  <si>
    <t>помидоры Черри</t>
  </si>
  <si>
    <t>соус сливочный п\ф</t>
  </si>
  <si>
    <t>Куурдак из баранины</t>
  </si>
  <si>
    <t>соус демиглас</t>
  </si>
  <si>
    <t>Тибон стейк</t>
  </si>
  <si>
    <t>масло раст</t>
  </si>
  <si>
    <t>соус сальса п\ф</t>
  </si>
  <si>
    <t>овощи на гриле п/ф</t>
  </si>
  <si>
    <t>Медальоны из телятины</t>
  </si>
  <si>
    <t>говядина бонфиле</t>
  </si>
  <si>
    <t>масло сливоч</t>
  </si>
  <si>
    <t>Рибай стейк</t>
  </si>
  <si>
    <t xml:space="preserve">Стейк  Рибай </t>
  </si>
  <si>
    <t>специя санта-мария</t>
  </si>
  <si>
    <t>соус демигласс</t>
  </si>
  <si>
    <t>панировочные сухари</t>
  </si>
  <si>
    <t>грибы шампиньоны св.</t>
  </si>
  <si>
    <t>редиска</t>
  </si>
  <si>
    <t>Овощной рататуй</t>
  </si>
  <si>
    <t>баклажаны</t>
  </si>
  <si>
    <t>перец болгарский</t>
  </si>
  <si>
    <t>Филе  форели с брокколи</t>
  </si>
  <si>
    <t>яйцо</t>
  </si>
  <si>
    <t>помидоры черри марин</t>
  </si>
  <si>
    <t>молоко</t>
  </si>
  <si>
    <t>Котлеты из форели</t>
  </si>
  <si>
    <t>перловка</t>
  </si>
  <si>
    <t>соус песто п/ф</t>
  </si>
  <si>
    <t>микс салат п/ф</t>
  </si>
  <si>
    <t>T-Bone</t>
  </si>
  <si>
    <t>Котлета из говядины</t>
  </si>
  <si>
    <t>Говядина фарш</t>
  </si>
  <si>
    <t>сыр моцарелла</t>
  </si>
  <si>
    <t>горох зеленый</t>
  </si>
  <si>
    <t>картофельное пюре п/ф</t>
  </si>
  <si>
    <t>Котлеты куриные</t>
  </si>
  <si>
    <t>уксус бальзамический</t>
  </si>
  <si>
    <t>ПП форель со шпинатом</t>
  </si>
  <si>
    <t xml:space="preserve">специи </t>
  </si>
  <si>
    <t>соус песто п\ф</t>
  </si>
  <si>
    <t>ПП курица капрезе</t>
  </si>
  <si>
    <t>Рис на пару П/ф</t>
  </si>
  <si>
    <t xml:space="preserve">картофель фри </t>
  </si>
  <si>
    <t>Картофельные дольки с грибами</t>
  </si>
  <si>
    <t>Картофельные крокеты</t>
  </si>
  <si>
    <t>картофель крокеты</t>
  </si>
  <si>
    <t>перец болгар.</t>
  </si>
  <si>
    <t>Овощи на гриле</t>
  </si>
  <si>
    <t>выход готов</t>
  </si>
  <si>
    <t>Итого выход готовый 150гр</t>
  </si>
  <si>
    <t>Боорсок</t>
  </si>
  <si>
    <t>масло растит</t>
  </si>
  <si>
    <t>Боорсок тесто</t>
  </si>
  <si>
    <t>Выход: 250гр.</t>
  </si>
  <si>
    <t>Наименование блюда</t>
  </si>
  <si>
    <t>№ п\п</t>
  </si>
  <si>
    <t>Номенклатура</t>
  </si>
  <si>
    <t>цена</t>
  </si>
  <si>
    <t>Брутто</t>
  </si>
  <si>
    <t>Нетто</t>
  </si>
  <si>
    <t>сумма</t>
  </si>
  <si>
    <t>продаж.  цена</t>
  </si>
  <si>
    <t>прим-е</t>
  </si>
  <si>
    <t>говядина фарш</t>
  </si>
  <si>
    <t>специя универсальная</t>
  </si>
  <si>
    <t>1кг.</t>
  </si>
  <si>
    <t>Говядина вырезка отварная</t>
  </si>
  <si>
    <t>говядина вырезка</t>
  </si>
  <si>
    <t>Чучвара п\ф</t>
  </si>
  <si>
    <t>начинка:говядина вырезка</t>
  </si>
  <si>
    <t xml:space="preserve">                  соль</t>
  </si>
  <si>
    <t xml:space="preserve">                  перец черный</t>
  </si>
  <si>
    <t xml:space="preserve">                 лук репчатый</t>
  </si>
  <si>
    <t xml:space="preserve">                 курдюк\жир?</t>
  </si>
  <si>
    <t>тесто : мука</t>
  </si>
  <si>
    <t xml:space="preserve">             яйцо 1шт.</t>
  </si>
  <si>
    <t xml:space="preserve">             соль</t>
  </si>
  <si>
    <t xml:space="preserve">             вода</t>
  </si>
  <si>
    <t xml:space="preserve">Куриные крылья </t>
  </si>
  <si>
    <t>куринные крылья</t>
  </si>
  <si>
    <t>санта мария</t>
  </si>
  <si>
    <t>сухари панировочные</t>
  </si>
  <si>
    <t>соус тобаско</t>
  </si>
  <si>
    <t>1кг</t>
  </si>
  <si>
    <t>Котлета рыбная  для бургеров</t>
  </si>
  <si>
    <t>рыба форель</t>
  </si>
  <si>
    <t>лимон сок</t>
  </si>
  <si>
    <t>масло слив</t>
  </si>
  <si>
    <t xml:space="preserve">Наименование блюда </t>
  </si>
  <si>
    <t>соус  Цезарь п\ф</t>
  </si>
  <si>
    <t>Цена</t>
  </si>
  <si>
    <t>брутто</t>
  </si>
  <si>
    <t>нетто</t>
  </si>
  <si>
    <t>Сумма</t>
  </si>
  <si>
    <t>продажная цена</t>
  </si>
  <si>
    <t>примеч.</t>
  </si>
  <si>
    <t>яйцо куриное 8 шт.</t>
  </si>
  <si>
    <t>берутся желтки</t>
  </si>
  <si>
    <t>ворчестер соус</t>
  </si>
  <si>
    <t>чеснок очищ.</t>
  </si>
  <si>
    <t>Лимон (товар)</t>
  </si>
  <si>
    <t xml:space="preserve"> цена за кг</t>
  </si>
  <si>
    <t>соус  Блючиз</t>
  </si>
  <si>
    <t>сыр дорблю</t>
  </si>
  <si>
    <t>Кляр</t>
  </si>
  <si>
    <t>крахмал</t>
  </si>
  <si>
    <t>яйцо 1шт</t>
  </si>
  <si>
    <t>Соус для пиццы</t>
  </si>
  <si>
    <t>Чеснок</t>
  </si>
  <si>
    <t>зелень:лук зел., петр., кинза...</t>
  </si>
  <si>
    <t>Соус болоньеза</t>
  </si>
  <si>
    <t>фарш говяжий</t>
  </si>
  <si>
    <t>томатная паста</t>
  </si>
  <si>
    <t>Соус Песто</t>
  </si>
  <si>
    <t xml:space="preserve">Лимонный сок </t>
  </si>
  <si>
    <t>Соус сальса</t>
  </si>
  <si>
    <t>Сок томатный</t>
  </si>
  <si>
    <t xml:space="preserve"> чили соус</t>
  </si>
  <si>
    <t>Бульон  куриный</t>
  </si>
  <si>
    <t>окорочка</t>
  </si>
  <si>
    <t>478минус240мясо</t>
  </si>
  <si>
    <t>1л</t>
  </si>
  <si>
    <t>1л.</t>
  </si>
  <si>
    <t xml:space="preserve">Выход: </t>
  </si>
  <si>
    <t>Бульон  костный</t>
  </si>
  <si>
    <t xml:space="preserve">Наименование </t>
  </si>
  <si>
    <t>продажн. цена</t>
  </si>
  <si>
    <t>кости говяжьи</t>
  </si>
  <si>
    <t>зелень:лук зел,петр,кинза,сельд.,укроп</t>
  </si>
  <si>
    <t>на 1 пор.</t>
  </si>
  <si>
    <t>200гр.</t>
  </si>
  <si>
    <t>Соус Барбекью</t>
  </si>
  <si>
    <t>соус барбекью</t>
  </si>
  <si>
    <t>соус медово-горчичный</t>
  </si>
  <si>
    <t>Сливочно сырный соус</t>
  </si>
  <si>
    <t>сыр виола</t>
  </si>
  <si>
    <t>Кетчуп</t>
  </si>
  <si>
    <t>Майонез</t>
  </si>
  <si>
    <t>соус ягодный</t>
  </si>
  <si>
    <t>ягоды замороженые</t>
  </si>
  <si>
    <t>сахар</t>
  </si>
  <si>
    <t>соус шоколадный</t>
  </si>
  <si>
    <t>какао</t>
  </si>
  <si>
    <t>Варенье, джем</t>
  </si>
  <si>
    <t xml:space="preserve">Мука </t>
  </si>
  <si>
    <t xml:space="preserve">Яйцо куринное </t>
  </si>
  <si>
    <t xml:space="preserve">Сахар </t>
  </si>
  <si>
    <t>Дрожжи</t>
  </si>
  <si>
    <t xml:space="preserve">Молоко </t>
  </si>
  <si>
    <t>Мука в\с</t>
  </si>
  <si>
    <t>1 кг.</t>
  </si>
  <si>
    <t>Тесто для  пиццы</t>
  </si>
  <si>
    <t>масло оливк</t>
  </si>
  <si>
    <t>дрожжи</t>
  </si>
  <si>
    <t>Выход</t>
  </si>
  <si>
    <t>Лапша на бешбармак и супы</t>
  </si>
  <si>
    <t>яйцо 2шт</t>
  </si>
  <si>
    <t>Лапша шпинатная</t>
  </si>
  <si>
    <t>сухари паниро</t>
  </si>
  <si>
    <t>чучук</t>
  </si>
  <si>
    <t>Чучук</t>
  </si>
  <si>
    <t>сливки 33</t>
  </si>
  <si>
    <t>соус греческий</t>
  </si>
  <si>
    <t>масло олив</t>
  </si>
  <si>
    <t>соус лимонный</t>
  </si>
  <si>
    <t>бальзамик</t>
  </si>
  <si>
    <t>соус бешамель</t>
  </si>
  <si>
    <t>мускатный орех</t>
  </si>
  <si>
    <t>микс салат</t>
  </si>
  <si>
    <t>наценка 11</t>
  </si>
  <si>
    <t>наценка 14</t>
  </si>
  <si>
    <t>наценка 12</t>
  </si>
  <si>
    <t>хлеб гостевой белый( 4 кусочка)</t>
  </si>
  <si>
    <t>хлеб бородинский(4 кусочка)</t>
  </si>
  <si>
    <t>булочки ржаные(2 шт)</t>
  </si>
  <si>
    <t>Выход: 320гр.</t>
  </si>
  <si>
    <t>Суп  Тайский</t>
  </si>
  <si>
    <t>наценка 3,5</t>
  </si>
  <si>
    <t>грибы шампиньены</t>
  </si>
  <si>
    <t>наценка 7</t>
  </si>
  <si>
    <t>Только кальмары идут?</t>
  </si>
  <si>
    <t>Или смесь из морепродуктов?</t>
  </si>
  <si>
    <t>можем это убрать или авокадо?</t>
  </si>
  <si>
    <t>вес картошки давайте сделаем 80 гр.</t>
  </si>
  <si>
    <t>вес уменьшить</t>
  </si>
  <si>
    <t>колибровка</t>
  </si>
  <si>
    <t>вес пересмотрим давайте? Сделаем 100 гр</t>
  </si>
  <si>
    <t>п\ф Котлета говяжья для бургеров</t>
  </si>
  <si>
    <t>п\ф щницель куриная  для бургеров</t>
  </si>
  <si>
    <t>хлеб черный</t>
  </si>
  <si>
    <t>наценка 2,8</t>
  </si>
  <si>
    <t>Выход: 1л 14порция по 0,070гр</t>
  </si>
  <si>
    <t>Выход: 1кг 6 порция по 0,160гр</t>
  </si>
  <si>
    <t xml:space="preserve">картофель </t>
  </si>
  <si>
    <t>п\ф Котлета куриная</t>
  </si>
  <si>
    <t>куриное филе</t>
  </si>
  <si>
    <t>куриная котлета п/ф</t>
  </si>
  <si>
    <t>Выход: 6пор по 0,120гр</t>
  </si>
  <si>
    <t>Куриная грудка п/ф щницель</t>
  </si>
  <si>
    <t>Выход: 8 пор по 0,150гр</t>
  </si>
  <si>
    <t>Выход: 180гр 1 порция</t>
  </si>
  <si>
    <t>Выход: 1 пор 0,320гр</t>
  </si>
  <si>
    <t>Выход: 9 пор по 0,150гр</t>
  </si>
  <si>
    <t>Выход: 29 пор по 0,050гр</t>
  </si>
  <si>
    <t>Выход: 0,040гр 1пор</t>
  </si>
  <si>
    <t>Наименование</t>
  </si>
  <si>
    <t>Описание</t>
  </si>
  <si>
    <t>выход</t>
  </si>
  <si>
    <t>себес</t>
  </si>
  <si>
    <t>*3</t>
  </si>
  <si>
    <t>итого</t>
  </si>
  <si>
    <t>Каши</t>
  </si>
  <si>
    <t>Каша овсянная</t>
  </si>
  <si>
    <t>Каша из овсянных хлопьев -Залог здоровья и прекрасного настроения</t>
  </si>
  <si>
    <t xml:space="preserve">Каша рисовая </t>
  </si>
  <si>
    <t>Настоящий вкус детства! Рисовая каша на основе молока и сливочного масла</t>
  </si>
  <si>
    <t>Гречневая каша – это традиционное и полезное блюдо, приготовленное из гречки. Она обладает ярким ореховым вкусом и насыщенным ароматом.</t>
  </si>
  <si>
    <t xml:space="preserve">Добавки по желанию </t>
  </si>
  <si>
    <t>банан клубник смородина орехи кешью грецкие орехи,семена чиа</t>
  </si>
  <si>
    <t>0,1/,1/0,03</t>
  </si>
  <si>
    <t>18/30/9/30/15/24</t>
  </si>
  <si>
    <t>Кашу мы можем приготовить на безлактозном молоке</t>
  </si>
  <si>
    <t>фундучное миндальное соевое кокосовое</t>
  </si>
  <si>
    <t xml:space="preserve">Сытные завтраки мировые </t>
  </si>
  <si>
    <t>Турецкий завтрак (свежие овощи,фрукты, орехи, джем,мед,масло,хлеб,симмит)</t>
  </si>
  <si>
    <t>Ассортимент свежих овощей, турецкие маслины, турецкий симит.</t>
  </si>
  <si>
    <t>Крок Мадам (Классический французский сендвич с запеченной говядиной,сыром и соусом Бешамель и глазуньей. Подается с микс салатом)</t>
  </si>
  <si>
    <t xml:space="preserve">Крок-мадам готовится из двух ломтиков хлеба, с говядиной и сыром. Затем бутерброд обжаривается на сливочном масле а сверху добавляется соус бешамель. Завершающим штрихом становится яичница-глазунья, которая делает блюдо более сытным и аппетитным. </t>
  </si>
  <si>
    <t>Полезные завтраки</t>
  </si>
  <si>
    <t>Тонкие,золотистые оладьи из кабачков,снаружи хрустящие,а внутри нежные и воздужные</t>
  </si>
  <si>
    <t>пп</t>
  </si>
  <si>
    <t>Нежный и пышный омлет из двух яиц подается с микс салатом</t>
  </si>
  <si>
    <t>завтрак подходящий для кето диеты,основанный на низком содержании углеводов с высоким содержанием жиров</t>
  </si>
  <si>
    <t>Сладкие завтраки</t>
  </si>
  <si>
    <t>Сырники с бананом и клубникой Нежнейшие сырники из натурального творог с добавлением сладкой сгущенкой</t>
  </si>
  <si>
    <t>Сырники готовятся из творога, яйца.Обжариваются на сковороде с минимальным количеством масло,после запекаются в духовке. Подается с бананом и клубникой</t>
  </si>
  <si>
    <t>Блины с творогом – это нежные тонкие блины, начинённые творожной массой. Они могут подаваться в теплом или холодном виде, с различными добавками, такими как сметана, мёд, варенье или ягоды.</t>
  </si>
  <si>
    <t>Гранола    Питательный завтрак из смеси полезных злаков,орехов и фруктов подается с натуральным йогуртом</t>
  </si>
  <si>
    <t>Гранола – это хрустящая смесь запечённых овсяных хлопьев, орехов, семян и сухофруктов, часто с добавлением мёда, сиропа или шоколада. Это питательный завтрак или перекус, который можно есть самостоятельно, с йогуртом, молоком или фруктами.</t>
  </si>
  <si>
    <t>Творожный боул с ягодами по сезону</t>
  </si>
  <si>
    <t>Воздушный творог украшенная легкой кремовой текстурой, на которую щедро выкладывается сезоннв ягоды. Каждый кусочек это яркий акцент:свежая клубника,малина,голубика с добавлением легких посыпок из орехов</t>
  </si>
  <si>
    <t>Закуски</t>
  </si>
  <si>
    <t>Брускетта с форелью (багет,творожный сыр,копченая форель,лимон,зелень)</t>
  </si>
  <si>
    <t>Брускетта с говядиной</t>
  </si>
  <si>
    <t>Брускетта с карамелизированным луком</t>
  </si>
  <si>
    <t>Хрутящий багет с классическим салатом Цезарь</t>
  </si>
  <si>
    <t>Сырная симфония (творожный,бри,дорблю,чеддер визенголд)</t>
  </si>
  <si>
    <t>Гармоничное сочетание пяти изысканных сортов сыра, каждый из которых добавляет свою уникальную ноту в общую мелодию вкуса.Бархатистый сыр бри, Насыщенный дорблю, Легкий творожный, выдержанный Чеддер,Ароматный Визенголд. Подается с медовыми сотами, фруктами и орехами</t>
  </si>
  <si>
    <t>Мясная нарезка</t>
  </si>
  <si>
    <t>ассорти мясных проудктов</t>
  </si>
  <si>
    <t>Овощная нарезка</t>
  </si>
  <si>
    <t>ассорти сезонных овощей</t>
  </si>
  <si>
    <t>Хрустящие креветки с медово горчичным соусом</t>
  </si>
  <si>
    <t>Битые огурцы</t>
  </si>
  <si>
    <t>ПОКЭ БОУЛ Сбалансированное питание</t>
  </si>
  <si>
    <t xml:space="preserve"> с курицей </t>
  </si>
  <si>
    <t xml:space="preserve">с креветками </t>
  </si>
  <si>
    <t>тигровые креветки,рис, творожный сыр,салат чукка, кукуруза, томаты,огурцы, морковь,ананас, арахис, соус с тобико</t>
  </si>
  <si>
    <t>Салаты</t>
  </si>
  <si>
    <t xml:space="preserve">Хрустящие листья романо,фирменный соус Цезарь, в сочетании с нежным филе курицы. </t>
  </si>
  <si>
    <t>Шпинатный с телятиной</t>
  </si>
  <si>
    <t>Яркий и сбалансированный салат нежный и насыщенный вкус. Сочный молодой шпинат,ломтики сочной телятины на гриле.</t>
  </si>
  <si>
    <t xml:space="preserve">Греческий </t>
  </si>
  <si>
    <t>Классическое блюдо средиземноморской кухни, сочетающее свежие овощи, оливки и сыры. Он отличается легкостью и насыщенным вкусом.</t>
  </si>
  <si>
    <t>Золотистые ломтики баклажана с хрустящей корочкой, обжаренные до совершенства и покрытые ароматным кисло-сладким соусом. Идеальное сочетание мягкости внутри и аппетитного хруста снаружи! Пикантная глазурь с нотками сладости и лёгкой кислинки делает вкус особенно ярким и гармоничным.</t>
  </si>
  <si>
    <t>Салат с хрустящей моцареллой (руккола,шпинат,помидоры,моцарелла в панировке,лимонный дрессинг)</t>
  </si>
  <si>
    <t>Гармоничное сочетание хрустящей текстуры, свежести и нежного сливочного вкуса. В центре внимания — мини-шарики моцареллы в золотистой панировке, которые при разрезании тянутся аппетитными нитями. Панировка чернилами каракатицы</t>
  </si>
  <si>
    <t>Свекольный с рукколой</t>
  </si>
  <si>
    <t>Салат с рукколой и апельсином</t>
  </si>
  <si>
    <t>Руккола, апельсин,  вяленные томаты</t>
  </si>
  <si>
    <t>Снеки и Сендвичи</t>
  </si>
  <si>
    <t xml:space="preserve">Фирменный бургер с форелью </t>
  </si>
  <si>
    <r>
      <t xml:space="preserve">Нежное филе форели, обжаренное до золотистой корочки, дополняется свежими овощами, сливочным соусом и необычной булочкой, которая делает подачу эффектной и запоминающейся. </t>
    </r>
    <r>
      <rPr>
        <b/>
        <sz val="11"/>
        <color theme="1"/>
        <rFont val="Arialmt"/>
        <charset val="204"/>
      </rPr>
      <t>Подача с огнем Пиробумага Шоу</t>
    </r>
  </si>
  <si>
    <t>пиробумаг</t>
  </si>
  <si>
    <t>Нежная куриная грудка, замаринованная в травах и специях, обжаривается на гриле до золотистой корочки, сохраняя свою сочность и аромат дыма. Подаётся на хрустящем хлебе с легким фирменным соусом, свежими листьями салата, ломтиками спелых томатов.</t>
  </si>
  <si>
    <t xml:space="preserve">Пикантная копченая и микс зелени.Подаётся на хрустящем хлебе  с фирменным соусом Цезарь, свежими листьями салата, ломтиками спелых лимонов и тонкими кольцами красного лука. </t>
  </si>
  <si>
    <t>Хрустящие куриные крылья</t>
  </si>
  <si>
    <t>Маринованные в специях и соевом соусе, они обретают насыщенный вкус, а хрустящая панировка  придает им аппетитную золотистую корочку. Подаются с фирменным соусом</t>
  </si>
  <si>
    <t>кесадилья с курицей</t>
  </si>
  <si>
    <t>Кесадилья с говядиной</t>
  </si>
  <si>
    <t>Кесадилья 4 сыра</t>
  </si>
  <si>
    <t>Пепперони</t>
  </si>
  <si>
    <t xml:space="preserve">Классическая пицца пепперони – это идеальное сочетание хрустящей корочки, насыщенного томатного соуса, расплавленного сыра моцарелла и пикантных ломтиков пепперони. </t>
  </si>
  <si>
    <t>Куриная со шпинатом</t>
  </si>
  <si>
    <t>Изысканное сочетание сочной курицы, свежего шпината и нежного сыра моцарелла. Тонкая хрустящая основа, покрытая ароматным томатным соусом, щедро украшена кусочками куриного мяса, слегка обжаренного до золотистой корочки, и свежим шпинатом, что придает пицце легкость и оригинальный вкус.</t>
  </si>
  <si>
    <t>Маргарита</t>
  </si>
  <si>
    <t xml:space="preserve">Настоящая классика итальянской кухни, в которой гармонично сочетаются свежий томатный соус, нежная моцарелла и ароматный базилик. </t>
  </si>
  <si>
    <t>Оригинальное сочетание традиционного теста и тропических вкусов, способное удивить даже самых искушённых гурманов. В основе – нежный томатный соус и расплавленная моцарелла, дополненные сочными кусочками ананаса, ароматной курицей или креветками, ярким сладким перцем и красным луком</t>
  </si>
  <si>
    <t>оригинальное сочетание итальянской традиции и японских вкусов. На тонком хрустящем тесте равномерно распределён насыщенный соус, нежный сыр моцарелла, сочные кусочки курицы, замаринованные в соусе Терияки, а также свежие овощи. Финишным акцентом служит посыпка зелёным луком и кунжутом,</t>
  </si>
  <si>
    <t>Классическая пицца 4 сыра</t>
  </si>
  <si>
    <t xml:space="preserve">Гармоничное сочетание разнообразных сыров, которые создают неповторимую кремовую текстуру и насыщенный вкус. На тонком хрустящем тесте базируется пикантный томатный или сливочный соус, который подчеркивает аромат каждого сыра – от нежной моцареллы до интенсивного голубого сыра. </t>
  </si>
  <si>
    <t>Пицца 4 сезона</t>
  </si>
  <si>
    <t>Пицца с форелью с соусом Песто</t>
  </si>
  <si>
    <t>Пицца Цезарь</t>
  </si>
  <si>
    <t xml:space="preserve">Паста </t>
  </si>
  <si>
    <t>Морской дар (тальятелла, микс морепродуктов,форель,сливки,соус Песто,сыр Пармезан)</t>
  </si>
  <si>
    <r>
      <t>Изысканное блюдо, в котором гармонично сочетаются свежайшие морепродукты и идеально приготовленная паста. В этом блюде собраны дары моря: микс морепродуктов,форель и мидии которые обжариваются до золотистой корочки и затем тушатся в ароматном соусе.</t>
    </r>
    <r>
      <rPr>
        <b/>
        <sz val="11"/>
        <color theme="1"/>
        <rFont val="Arialmt"/>
        <charset val="204"/>
      </rPr>
      <t xml:space="preserve"> Подача в сырной голове ШОу</t>
    </r>
  </si>
  <si>
    <t>Спагетти с телятиной  (спагетти, телятина, лук,сливки,вяленные томаты,сыр Пармезан)</t>
  </si>
  <si>
    <t>Ароматная паста с нежными кусочками телятины в сливочном соусе с добавлением вяленных томатов.Легкий сливочный вкус идеально сочетается с мясной составляющей и делает блюдо ообенно насыщенным</t>
  </si>
  <si>
    <t>Фетучини Альфредо (фетучини, курица,лук,грибы,сливки,сыр Пармезан)</t>
  </si>
  <si>
    <t>Спагетти болоньезе</t>
  </si>
  <si>
    <t>ПП Спагетти с песто</t>
  </si>
  <si>
    <t>Гречневая лапша с овощами</t>
  </si>
  <si>
    <t>Первые</t>
  </si>
  <si>
    <t>Суп Том ям с креветками</t>
  </si>
  <si>
    <t>Рамен с курицей</t>
  </si>
  <si>
    <t>Ароматный и острый суп на основе курицы и грибов</t>
  </si>
  <si>
    <t>Рамен с говядиной</t>
  </si>
  <si>
    <t>Сытный суп с говядиной и овощами</t>
  </si>
  <si>
    <t>ПП Чечевичный крем суп</t>
  </si>
  <si>
    <t>Нежный крем суп из чечевицы на овощном бульоне</t>
  </si>
  <si>
    <t>ПП Тыквенный крем суп</t>
  </si>
  <si>
    <t>ПП Крем суп с брокколи и цветной капустой</t>
  </si>
  <si>
    <t>Вторые</t>
  </si>
  <si>
    <t>Филе форели с брокколи</t>
  </si>
  <si>
    <t>Нежное филе форели,обжаренное до хрустящей корочки подается с брокколи на пару</t>
  </si>
  <si>
    <t>Тибон стейк это популярный и очень сочный кусок мяса, который получается из части ребра с характерной Т образной косточке.</t>
  </si>
  <si>
    <t>Медальоны из телятины с картофелем</t>
  </si>
  <si>
    <t>Кабачкова корзина с овощным сотэ</t>
  </si>
  <si>
    <t>Это не только вкусное,но и визуально эффектное блюдо. Яркие и разноцветные овощи создают красивую картину. Подается с хрустящим багетом</t>
  </si>
  <si>
    <t>ПП Форель со шпинатом ( Пюре из цветной капусты, шпинат,черри,соус песто,лимон,форель на пару)</t>
  </si>
  <si>
    <t>Легкое и изысканное блюдо,сочетающее в себе нежный вкус рыбы и насыщенный аромат шпината.</t>
  </si>
  <si>
    <t>ПП Курица Капрезе (помидоры,сыр моцарелла,соус песто,рис на пару)</t>
  </si>
  <si>
    <t>Легкое и ароматное блюдо сочатает в себе свежесть овощей,нежность курицы и насыщенный вкус моцареллы.</t>
  </si>
  <si>
    <t>Бефстроганы с пюре</t>
  </si>
  <si>
    <t>Фрикасе с рисом</t>
  </si>
  <si>
    <t>Форель с овощами и рисом</t>
  </si>
  <si>
    <t>Курица с овощами и рисом</t>
  </si>
  <si>
    <t>Гарниры</t>
  </si>
  <si>
    <t>Овощи припущенные</t>
  </si>
  <si>
    <t>Выпечка и Сладкая выпечка</t>
  </si>
  <si>
    <t>Хлебная корзина ассорти</t>
  </si>
  <si>
    <t>Боорсок со сметаной</t>
  </si>
  <si>
    <t>Десерты</t>
  </si>
  <si>
    <t>Детское</t>
  </si>
  <si>
    <t>Нагетсы с фри</t>
  </si>
  <si>
    <t>Спринг роллы с сыром</t>
  </si>
  <si>
    <t>Овощные стики со сметаной</t>
  </si>
  <si>
    <t>Супы</t>
  </si>
  <si>
    <t>Куриный суп Букварь</t>
  </si>
  <si>
    <t>Говяжий суп звездочка</t>
  </si>
  <si>
    <t xml:space="preserve">Пельмени </t>
  </si>
  <si>
    <t>Второе</t>
  </si>
  <si>
    <t>Фарфале с сыром</t>
  </si>
  <si>
    <t xml:space="preserve">Куриные котлеты с пюре </t>
  </si>
  <si>
    <t>Говяжие фрикадельки с пюре</t>
  </si>
  <si>
    <t>Осьминожки (сосиски,фри)</t>
  </si>
  <si>
    <t>Шоколадные блины</t>
  </si>
  <si>
    <t>Банан с шоколадом</t>
  </si>
  <si>
    <t>Фрукты по сезону в стаканчике</t>
  </si>
  <si>
    <t>Фирменный  завтрак                                               (багет,хрустящая курица,фирменные колббаски, кукуруза консервированная,микс салат,яичница болтунья)</t>
  </si>
  <si>
    <t>Свежеиспеченный багет на гриле,пышная ботунья,хрустящая курица,сочные колбаски,микс зелени</t>
  </si>
  <si>
    <t>багет п/ф</t>
  </si>
  <si>
    <t>колбаски</t>
  </si>
  <si>
    <t>хруст курица</t>
  </si>
  <si>
    <t>кукурза консер</t>
  </si>
  <si>
    <t xml:space="preserve">Сыр чеддер </t>
  </si>
  <si>
    <t>Яйца Бенедикт с форелью – это изысканный вариант классического блюда Eggs Benedict, в котором традиционный бекон заменяется слабосолёной или копчёной форелью, а дополнением служит огурцы,микс салат с вяленными томатами.</t>
  </si>
  <si>
    <t>багет пф</t>
  </si>
  <si>
    <t>огурцы</t>
  </si>
  <si>
    <t>форель копченая</t>
  </si>
  <si>
    <t>Национальный завтрак (май токоч,сары май,мед,сметана,чучук,сыр,свежие овощи)</t>
  </si>
  <si>
    <t>Бенедикт с форелью  (брускетты со слабосоленной форелью и яйцом пашот,залитый с соусом Голландез, микс салата с вяленными томатами)</t>
  </si>
  <si>
    <t>Воздушный токоч, чучук,сары май,свежие овощи</t>
  </si>
  <si>
    <t>Оладьи из кабачков с форелью (хлопья,кабачки,семга,творожный сыр,яйцо микрозелень)</t>
  </si>
  <si>
    <t>Омлет с сыром и помидором</t>
  </si>
  <si>
    <t>Кето завтрак с форелью (яйцо пашот, форель,творожный сыр,огурцы, помидоры, огурцы, микс салатов)</t>
  </si>
  <si>
    <t>Кето завтрак с креветкой (яйцо скрембл, креветки,творожный сыр,огурцы,помидоры, огурцы, микс салатов)</t>
  </si>
  <si>
    <t>Брускетта Цезарь</t>
  </si>
  <si>
    <t xml:space="preserve">Багет п/ф </t>
  </si>
  <si>
    <t>Хрустящий ломтик свежего багета,слегка поджаренный до золотистой корочки и смазанный тонким слоем творожного сыра, На нем уложены ломтики копченого форели.Подается лимоном и зеленью</t>
  </si>
  <si>
    <t>убираем</t>
  </si>
  <si>
    <t>Тигровые креветки в хрустящей панировка обжренная до золотистой корочки,подается с медовы соусом</t>
  </si>
  <si>
    <t>Хрустящие креветки</t>
  </si>
  <si>
    <t>соевый соус</t>
  </si>
  <si>
    <t>перец чили</t>
  </si>
  <si>
    <t>масло кунжутное</t>
  </si>
  <si>
    <t xml:space="preserve"> с форелью</t>
  </si>
  <si>
    <t>малосоленная форель,киноа,творожный сыр,яйцо отварное,картофель дольки,брокколи,томаты,кабачки,красный лук,микс салатов,соус тайский</t>
  </si>
  <si>
    <t>куриная грудка,гречка,яйцо отварное,оливки,томаты,цветная капуста, микс салат ,соус кисло сладкий</t>
  </si>
  <si>
    <t>Микс зелени с яйцом пашот</t>
  </si>
  <si>
    <t xml:space="preserve">Утонченное сочетание свежести,нежности и насыщенного вкуса.Острая руккола, идеальное яйцо пашот с нежным и тягучим желтком,мягкая слабосоленная форель заправленная слегко кислым бальзамическим соусом. </t>
  </si>
  <si>
    <t>литья салата</t>
  </si>
  <si>
    <t>убрать</t>
  </si>
  <si>
    <t>Хрустящие баклажаны   (баклажаны,помидоры ,сыр творожный,соус кисло сладкий)</t>
  </si>
  <si>
    <t>"Легкий" (микс зелени,помидоры,огурцы,перец,брокколи,курица)</t>
  </si>
  <si>
    <t xml:space="preserve">Идеальное сочетание нежных, сочных и хрустящих текстур. Свежий микс зелени создаёт лёгкую основу, которую дополняют мягкие дольки брокколи, свежий огурец и сладкие томаты . Главный акцент – нежное филе курицы и которые придают блюду насыщенность и питательность. </t>
  </si>
  <si>
    <t>Салат овощной в соусе песто</t>
  </si>
  <si>
    <t>цветная капуста,брокколи,стручковая фасоль,помидоры,сыр брынза,соус песто</t>
  </si>
  <si>
    <t>пиробумага</t>
  </si>
  <si>
    <r>
      <t>Сочная куриная котлета</t>
    </r>
    <r>
      <rPr>
        <sz val="12"/>
        <color rgb="FF000000"/>
        <rFont val="Segoe UI"/>
        <family val="2"/>
        <charset val="204"/>
      </rPr>
      <t xml:space="preserve"> в хрустящей панировке покрывается </t>
    </r>
    <r>
      <rPr>
        <sz val="12"/>
        <color rgb="FF000000"/>
        <rFont val="Segoe UI"/>
        <family val="2"/>
        <charset val="204"/>
      </rPr>
      <t>съедобным золотом</t>
    </r>
    <r>
      <rPr>
        <sz val="12"/>
        <color rgb="FF000000"/>
        <rFont val="Segoe UI"/>
        <family val="2"/>
        <charset val="204"/>
      </rPr>
      <t xml:space="preserve">, превращая бургер в настоящее гастрономическое произведение искусства. Лёгкая пикантность соуса, сливочность сыра и свежесть овощей делают вкус сбалансированным. </t>
    </r>
  </si>
  <si>
    <r>
      <t>Нежная котлета из телятины</t>
    </r>
    <r>
      <rPr>
        <sz val="12"/>
        <color rgb="FF000000"/>
        <rFont val="Segoe UI"/>
        <family val="2"/>
        <charset val="204"/>
      </rPr>
      <t xml:space="preserve"> с лёгким розовым центром дополняется сливочными и пряными нотками, создавая идеальный баланс вкусов. Подача с огнем Пиробумага Шоу</t>
    </r>
  </si>
  <si>
    <t>тонкие лепешки тортилья, свежие овощи и курица в томатном соусе,плавоенный ссыр моцарелла и зелень</t>
  </si>
  <si>
    <t>тонкие лепешки тортилья, свежие овощи и говяжий фарш  в томатном соусе,плавоенный сыр моцарелла и зелень</t>
  </si>
  <si>
    <t>тонкие лепешки,сливки,сыр чеддер,дорблю,моцарелла, сулугуни</t>
  </si>
  <si>
    <t>чеддер</t>
  </si>
  <si>
    <t>Фетучини с форелью</t>
  </si>
  <si>
    <t>Пенне с томатным соусом</t>
  </si>
  <si>
    <t>Кремовая паста фетучини в легендарном сливочном соусе Альфредо с тертым пармезаном и нежным сливочным вкусом.Идеальный выбор для любителей классики итальянкой кухни.</t>
  </si>
  <si>
    <t>креветки</t>
  </si>
  <si>
    <t xml:space="preserve">помидоры </t>
  </si>
  <si>
    <t xml:space="preserve"> Легендарный тайский суп  ярким ароматом и насыщенным вкусом.Креветки,кокосовое молоко,грибы,чили и лайм -иделаное сочетание остроты и сливочной нежности. Подается с рисом и кинзой. </t>
  </si>
  <si>
    <t>Шорпо с говядиной</t>
  </si>
  <si>
    <t>баранина ляжка</t>
  </si>
  <si>
    <t>Пельмени со сметаной</t>
  </si>
  <si>
    <t>Борщ классический</t>
  </si>
  <si>
    <t>Шорпо с бараниной</t>
  </si>
  <si>
    <t>Солянка мясная</t>
  </si>
  <si>
    <t>Блюда из рыбы и морепродуктов</t>
  </si>
  <si>
    <t xml:space="preserve">Стейк Рибай </t>
  </si>
  <si>
    <t>Сочный мраморный стейк средней прожарки,овощи на гриле и ароматный соус.</t>
  </si>
  <si>
    <t xml:space="preserve">Стейк Тибон </t>
  </si>
  <si>
    <t xml:space="preserve">Изысканное блюдо мясо  вырезается из самых нежных частей телятины. Мясо отличается особой мягкостью из за чего медальоны получается нежными и сочными. </t>
  </si>
  <si>
    <t>Говяжие щечки с картофельным пюре</t>
  </si>
  <si>
    <t>Блюда из говядины и баранины</t>
  </si>
  <si>
    <t>Куурдак из говядины</t>
  </si>
  <si>
    <t>Блюда из курицы</t>
  </si>
  <si>
    <t>ГРИЛЬ</t>
  </si>
  <si>
    <t>Цитрусовый куриный рулет с овощами</t>
  </si>
  <si>
    <t>Сочный хрустящий рулет с апельсином подается с мексиканскими овощами</t>
  </si>
  <si>
    <t>Овощи</t>
  </si>
  <si>
    <t>Картофель с грибами</t>
  </si>
  <si>
    <t>помидор</t>
  </si>
  <si>
    <t>Дорадо на гриле</t>
  </si>
  <si>
    <t xml:space="preserve">Золотистая дорадо в сочетани. </t>
  </si>
  <si>
    <t>Нежные кусочки форели обжаренные с хрустящими овощами в соевом соусе</t>
  </si>
  <si>
    <t>баранина мякоть</t>
  </si>
  <si>
    <t>Микс салат с форелью</t>
  </si>
  <si>
    <t>Фетучини с форелью (фетучини,семга,лук,сливки,кабачки,сыо Пармезан)</t>
  </si>
  <si>
    <t>Элегантное блюдо итальянской кухни, где нежная паста идеально сочетается с сочными кусочками форели в сливочном соусе. Соус, приготовленный на основе сливок, пармезана и ароматного чеснока, подчеркивает вкус рыбы и придаёт блюду насыщенность.</t>
  </si>
  <si>
    <t xml:space="preserve">Бургер с телятиной                     </t>
  </si>
  <si>
    <t>Пицца 35см</t>
  </si>
  <si>
    <t>Костный мозг с багетом и с зеленью</t>
  </si>
  <si>
    <t>Запеченные мозговые кости с хрустящим баегтом и зеленью</t>
  </si>
  <si>
    <t>к/б/ж/у</t>
  </si>
  <si>
    <t>780/7/84/0</t>
  </si>
  <si>
    <t>Молодой картофель жаренный с луком и грибами</t>
  </si>
  <si>
    <t xml:space="preserve"> </t>
  </si>
  <si>
    <t>110/3/4,5/15</t>
  </si>
  <si>
    <t>1500/70/75/110</t>
  </si>
  <si>
    <t>1250/70/65/110</t>
  </si>
  <si>
    <t>115/2,8/4,6/16</t>
  </si>
  <si>
    <t>500/30/18/50</t>
  </si>
  <si>
    <t>1080/50/45/110</t>
  </si>
  <si>
    <t>125/4,3/5,1/16,5</t>
  </si>
  <si>
    <t>600/35/24/50</t>
  </si>
  <si>
    <t>1150/65/45/130</t>
  </si>
  <si>
    <t>768/47/42/51</t>
  </si>
  <si>
    <t>1174/37/90/47</t>
  </si>
  <si>
    <t>712/38/32/68</t>
  </si>
  <si>
    <t>180/9/11/12</t>
  </si>
  <si>
    <t>125/7,5/5,5/5,8</t>
  </si>
  <si>
    <t>1350/60/75/100</t>
  </si>
  <si>
    <t>544/14/31/52</t>
  </si>
  <si>
    <t>355/17/21/25</t>
  </si>
  <si>
    <t>510/25/34/21</t>
  </si>
  <si>
    <t>510/13/34/35</t>
  </si>
  <si>
    <t>395/22/24/22</t>
  </si>
  <si>
    <t>345/18/27/4</t>
  </si>
  <si>
    <t>435/22/37/8</t>
  </si>
  <si>
    <t>475/24/39/7</t>
  </si>
  <si>
    <t>558/28/18/45</t>
  </si>
  <si>
    <t>675/27/29/76</t>
  </si>
  <si>
    <t>395/12/18/47</t>
  </si>
  <si>
    <t>306/19/17/15</t>
  </si>
  <si>
    <t>234/15/14/14</t>
  </si>
  <si>
    <t>100/3/0,5/16</t>
  </si>
  <si>
    <t>350/20/18/25</t>
  </si>
  <si>
    <t>300/21/10/25</t>
  </si>
  <si>
    <t>350/20/15/37</t>
  </si>
  <si>
    <t>375/28/24/14</t>
  </si>
  <si>
    <t>480/27/31/17</t>
  </si>
  <si>
    <t>294/9/24/11</t>
  </si>
  <si>
    <t>230/41/9,2/34</t>
  </si>
  <si>
    <t>344/17/23/19</t>
  </si>
  <si>
    <t>620/65/49/72</t>
  </si>
  <si>
    <t>750/45/48/50</t>
  </si>
  <si>
    <t>670/45/40/45</t>
  </si>
  <si>
    <t>480/37/3/5</t>
  </si>
  <si>
    <t>420/16/20/55</t>
  </si>
  <si>
    <t>520/28/26/45</t>
  </si>
  <si>
    <t>45/10/16/42</t>
  </si>
  <si>
    <t>140/4/10/12</t>
  </si>
  <si>
    <t>380/22/24/12</t>
  </si>
  <si>
    <t>360/22/21/18</t>
  </si>
  <si>
    <t>350/12/32/18</t>
  </si>
  <si>
    <t>200/28/14/12</t>
  </si>
  <si>
    <t>320/8/28/18</t>
  </si>
  <si>
    <t>320/10/24/28</t>
  </si>
  <si>
    <t>980/42/55/90</t>
  </si>
  <si>
    <t>1150/45/55/75</t>
  </si>
  <si>
    <t>850/40/48/65</t>
  </si>
  <si>
    <t>920/38/58/62</t>
  </si>
  <si>
    <t>1050/28/52/60</t>
  </si>
  <si>
    <t>1900/75/85/210</t>
  </si>
  <si>
    <t>1700/69/126/112</t>
  </si>
  <si>
    <t>1800/75/60/103</t>
  </si>
  <si>
    <t>1850/60/43/120</t>
  </si>
  <si>
    <t>850/38/48/70</t>
  </si>
  <si>
    <t>820/14/48/65</t>
  </si>
  <si>
    <t>480/320/14/50</t>
  </si>
  <si>
    <t>580/16/18/85</t>
  </si>
  <si>
    <t>280/15/10/8</t>
  </si>
  <si>
    <t>220/16/8/28</t>
  </si>
  <si>
    <t>180/8/16/20</t>
  </si>
  <si>
    <t>320/22/36/16</t>
  </si>
  <si>
    <t>280/12/18/22</t>
  </si>
  <si>
    <t>480/28/34/22</t>
  </si>
  <si>
    <t>380/22/22/21</t>
  </si>
  <si>
    <t>340/10/10/18</t>
  </si>
  <si>
    <t>1+K107A96:K10A96:L133</t>
  </si>
  <si>
    <t>650/42/38/8</t>
  </si>
  <si>
    <t>520/45/34/3</t>
  </si>
  <si>
    <t>590/36/22/48</t>
  </si>
  <si>
    <t>480/40/20/14</t>
  </si>
  <si>
    <t>890/52/70/10</t>
  </si>
  <si>
    <t>950/58/74/8</t>
  </si>
  <si>
    <t>720/46/38/28</t>
  </si>
  <si>
    <t>610/34/32/36</t>
  </si>
  <si>
    <t>670/30/40/42</t>
  </si>
  <si>
    <t>730/38/48/26</t>
  </si>
  <si>
    <t>790/36/58/22</t>
  </si>
  <si>
    <t>450/42/18/16</t>
  </si>
  <si>
    <t>510/38/20/24</t>
  </si>
  <si>
    <t>430/28/14/42</t>
  </si>
  <si>
    <t>470/30/16/40</t>
  </si>
  <si>
    <t>260/6/12/28</t>
  </si>
  <si>
    <t>320/7/14/40</t>
  </si>
  <si>
    <t>360/4/18/48</t>
  </si>
  <si>
    <t>180/4/1/38</t>
  </si>
  <si>
    <t>140/3/7/16</t>
  </si>
  <si>
    <t>210/12/10/18</t>
  </si>
  <si>
    <t>210/8/11/20</t>
  </si>
  <si>
    <t>216/5/14/11</t>
  </si>
  <si>
    <t>120/10/4/11</t>
  </si>
  <si>
    <t>225/14/10/18</t>
  </si>
  <si>
    <t>285/12/11/32</t>
  </si>
  <si>
    <t>270/11/9/35</t>
  </si>
  <si>
    <t>255/18/10/22</t>
  </si>
  <si>
    <t>180/14/7/15</t>
  </si>
  <si>
    <t>186/7/9/18</t>
  </si>
  <si>
    <t>126/4/5/17</t>
  </si>
  <si>
    <t>165/2/7/24</t>
  </si>
  <si>
    <t>96/1/0/22</t>
  </si>
  <si>
    <t>192/5/10/20</t>
  </si>
  <si>
    <t>90/3/1/18</t>
  </si>
  <si>
    <t>270/5/14/30</t>
  </si>
  <si>
    <t>Лапша Малайзи</t>
  </si>
  <si>
    <t>Гречневая лапша курица,тайский соус</t>
  </si>
  <si>
    <t>690/31/20/92</t>
  </si>
  <si>
    <t>10Удон с говядиной</t>
  </si>
  <si>
    <t>760/34/26/96</t>
  </si>
  <si>
    <t>Удон с курицей</t>
  </si>
  <si>
    <t>550/24/16/80</t>
  </si>
  <si>
    <t>Спагетти с песто и с курицей</t>
  </si>
  <si>
    <t>720/48/31/61</t>
  </si>
  <si>
    <t>Ужин от папы</t>
  </si>
  <si>
    <t>540/18/29/47</t>
  </si>
  <si>
    <t>Венские вафли с шоколадным соусом</t>
  </si>
  <si>
    <t>610/11/29/75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</si>
</sst>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</font>
    <font>
      <sz val="8"/>
      <name val="Arial"/>
      <family val="2"/>
    </font>
    <font>
      <b/>
      <sz val="11"/>
      <name val="Calibri"/>
      <family val="2"/>
    </font>
    <font>
      <b/>
      <sz val="8"/>
      <color rgb="FF000000"/>
      <name val="Calibri"/>
      <family val="2"/>
      <charset val="204"/>
      <scheme val="minor"/>
    </font>
    <font>
      <b/>
      <sz val="16"/>
      <name val="Calibri"/>
      <family val="2"/>
    </font>
    <font>
      <sz val="14"/>
      <color rgb="FF000000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Calibri"/>
      <family val="2"/>
      <charset val="204"/>
      <scheme val="minor"/>
    </font>
    <font>
      <sz val="11"/>
      <color indexed="59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theme="1"/>
      <name val="Arialmt"/>
    </font>
    <font>
      <b/>
      <sz val="14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1"/>
      <name val="Arialmt"/>
      <charset val="204"/>
    </font>
    <font>
      <sz val="12"/>
      <color rgb="FF000000"/>
      <name val="Segoe UI"/>
      <family val="2"/>
      <charset val="204"/>
    </font>
    <font>
      <sz val="16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4"/>
      <color theme="1"/>
      <name val="Arialmt"/>
      <charset val="204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0"/>
      </left>
      <right style="thin">
        <color indexed="6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/>
  </cellStyleXfs>
  <cellXfs count="36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 vertical="center" wrapText="1"/>
    </xf>
    <xf numFmtId="1" fontId="0" fillId="2" borderId="0" xfId="0" applyNumberForma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3" fillId="0" borderId="0" xfId="0" applyFont="1"/>
    <xf numFmtId="1" fontId="0" fillId="0" borderId="1" xfId="0" applyNumberFormat="1" applyBorder="1" applyAlignment="1">
      <alignment horizontal="center" vertical="center" wrapText="1"/>
    </xf>
    <xf numFmtId="0" fontId="5" fillId="4" borderId="0" xfId="0" applyFont="1" applyFill="1"/>
    <xf numFmtId="0" fontId="0" fillId="5" borderId="0" xfId="0" applyFill="1"/>
    <xf numFmtId="0" fontId="6" fillId="0" borderId="1" xfId="0" applyFont="1" applyBorder="1"/>
    <xf numFmtId="1" fontId="0" fillId="0" borderId="1" xfId="0" applyNumberFormat="1" applyBorder="1" applyAlignment="1">
      <alignment horizontal="right" vertical="center" wrapText="1"/>
    </xf>
    <xf numFmtId="1" fontId="0" fillId="0" borderId="1" xfId="0" applyNumberFormat="1" applyBorder="1" applyAlignment="1">
      <alignment horizontal="right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9" fontId="0" fillId="0" borderId="0" xfId="0" applyNumberFormat="1"/>
    <xf numFmtId="0" fontId="5" fillId="6" borderId="0" xfId="0" applyFont="1" applyFill="1"/>
    <xf numFmtId="0" fontId="0" fillId="6" borderId="0" xfId="0" applyFill="1"/>
    <xf numFmtId="1" fontId="4" fillId="0" borderId="1" xfId="0" applyNumberFormat="1" applyFont="1" applyBorder="1" applyAlignment="1">
      <alignment horizontal="center" vertical="center" wrapText="1"/>
    </xf>
    <xf numFmtId="0" fontId="0" fillId="7" borderId="0" xfId="0" applyFill="1"/>
    <xf numFmtId="0" fontId="6" fillId="0" borderId="0" xfId="0" applyFont="1"/>
    <xf numFmtId="0" fontId="7" fillId="0" borderId="0" xfId="0" applyFont="1"/>
    <xf numFmtId="164" fontId="8" fillId="0" borderId="0" xfId="0" applyNumberFormat="1" applyFont="1"/>
    <xf numFmtId="2" fontId="6" fillId="0" borderId="0" xfId="0" applyNumberFormat="1" applyFont="1"/>
    <xf numFmtId="164" fontId="12" fillId="0" borderId="0" xfId="0" applyNumberFormat="1" applyFont="1" applyAlignment="1">
      <alignment vertical="center"/>
    </xf>
    <xf numFmtId="0" fontId="1" fillId="0" borderId="0" xfId="0" applyFont="1"/>
    <xf numFmtId="0" fontId="13" fillId="0" borderId="0" xfId="0" applyFont="1"/>
    <xf numFmtId="0" fontId="10" fillId="0" borderId="0" xfId="0" applyFont="1"/>
    <xf numFmtId="0" fontId="11" fillId="0" borderId="0" xfId="0" applyFont="1" applyAlignment="1">
      <alignment horizontal="right"/>
    </xf>
    <xf numFmtId="0" fontId="14" fillId="0" borderId="0" xfId="0" applyFont="1"/>
    <xf numFmtId="164" fontId="15" fillId="0" borderId="0" xfId="0" applyNumberFormat="1" applyFont="1" applyAlignment="1">
      <alignment vertical="center"/>
    </xf>
    <xf numFmtId="0" fontId="16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right"/>
    </xf>
    <xf numFmtId="0" fontId="19" fillId="0" borderId="1" xfId="0" applyFont="1" applyBorder="1"/>
    <xf numFmtId="0" fontId="0" fillId="0" borderId="1" xfId="0" applyBorder="1" applyAlignment="1">
      <alignment horizontal="right" vertical="center" wrapText="1"/>
    </xf>
    <xf numFmtId="0" fontId="19" fillId="0" borderId="0" xfId="0" applyFont="1"/>
    <xf numFmtId="0" fontId="18" fillId="2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20" fillId="8" borderId="1" xfId="2" applyFont="1" applyFill="1" applyBorder="1" applyAlignment="1">
      <alignment horizontal="left" vertical="top"/>
    </xf>
    <xf numFmtId="0" fontId="20" fillId="8" borderId="1" xfId="2" applyFont="1" applyFill="1" applyBorder="1" applyAlignment="1">
      <alignment horizontal="right" vertical="top"/>
    </xf>
    <xf numFmtId="1" fontId="6" fillId="8" borderId="1" xfId="1" applyNumberFormat="1" applyFont="1" applyFill="1" applyBorder="1" applyAlignment="1">
      <alignment vertical="center"/>
    </xf>
    <xf numFmtId="164" fontId="20" fillId="8" borderId="1" xfId="2" applyNumberFormat="1" applyFont="1" applyFill="1" applyBorder="1" applyAlignment="1">
      <alignment horizontal="right" vertical="top"/>
    </xf>
    <xf numFmtId="0" fontId="23" fillId="0" borderId="0" xfId="0" applyFont="1" applyAlignment="1">
      <alignment horizontal="center"/>
    </xf>
    <xf numFmtId="0" fontId="6" fillId="0" borderId="4" xfId="0" applyFont="1" applyBorder="1"/>
    <xf numFmtId="0" fontId="0" fillId="0" borderId="4" xfId="0" applyBorder="1"/>
    <xf numFmtId="0" fontId="23" fillId="0" borderId="0" xfId="0" applyFont="1"/>
    <xf numFmtId="1" fontId="20" fillId="0" borderId="1" xfId="1" applyNumberFormat="1" applyFont="1" applyBorder="1" applyAlignment="1">
      <alignment vertical="center"/>
    </xf>
    <xf numFmtId="1" fontId="6" fillId="0" borderId="1" xfId="1" applyNumberFormat="1" applyFont="1" applyBorder="1" applyAlignment="1">
      <alignment vertical="center"/>
    </xf>
    <xf numFmtId="2" fontId="0" fillId="0" borderId="1" xfId="0" applyNumberFormat="1" applyBorder="1"/>
    <xf numFmtId="0" fontId="24" fillId="0" borderId="1" xfId="0" applyFont="1" applyBorder="1"/>
    <xf numFmtId="0" fontId="20" fillId="8" borderId="1" xfId="1" applyFont="1" applyFill="1" applyBorder="1" applyAlignment="1">
      <alignment horizontal="left" vertical="top"/>
    </xf>
    <xf numFmtId="0" fontId="20" fillId="8" borderId="1" xfId="1" applyFont="1" applyFill="1" applyBorder="1" applyAlignment="1">
      <alignment horizontal="right" vertical="top"/>
    </xf>
    <xf numFmtId="0" fontId="6" fillId="0" borderId="1" xfId="1" applyFont="1" applyBorder="1" applyAlignment="1">
      <alignment vertical="center"/>
    </xf>
    <xf numFmtId="0" fontId="6" fillId="8" borderId="1" xfId="1" applyFont="1" applyFill="1" applyBorder="1" applyAlignment="1">
      <alignment horizontal="left" vertical="top"/>
    </xf>
    <xf numFmtId="0" fontId="6" fillId="8" borderId="1" xfId="1" applyFont="1" applyFill="1" applyBorder="1" applyAlignment="1">
      <alignment horizontal="right" vertical="top"/>
    </xf>
    <xf numFmtId="0" fontId="20" fillId="8" borderId="1" xfId="3" applyFont="1" applyFill="1" applyBorder="1" applyAlignment="1">
      <alignment horizontal="left" vertical="top"/>
    </xf>
    <xf numFmtId="0" fontId="20" fillId="8" borderId="1" xfId="3" applyFont="1" applyFill="1" applyBorder="1" applyAlignment="1">
      <alignment horizontal="right" vertical="top"/>
    </xf>
    <xf numFmtId="0" fontId="6" fillId="8" borderId="1" xfId="1" applyFont="1" applyFill="1" applyBorder="1" applyAlignment="1">
      <alignment vertical="center"/>
    </xf>
    <xf numFmtId="0" fontId="25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24" fillId="0" borderId="1" xfId="0" applyFont="1" applyBorder="1" applyAlignment="1">
      <alignment horizontal="right"/>
    </xf>
    <xf numFmtId="0" fontId="18" fillId="0" borderId="1" xfId="0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 wrapText="1"/>
    </xf>
    <xf numFmtId="0" fontId="24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6" fillId="9" borderId="1" xfId="1" applyFont="1" applyFill="1" applyBorder="1" applyAlignment="1">
      <alignment vertical="center"/>
    </xf>
    <xf numFmtId="0" fontId="24" fillId="9" borderId="1" xfId="0" applyFont="1" applyFill="1" applyBorder="1"/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2" fontId="0" fillId="0" borderId="0" xfId="0" applyNumberFormat="1"/>
    <xf numFmtId="164" fontId="0" fillId="0" borderId="1" xfId="0" applyNumberFormat="1" applyBorder="1"/>
    <xf numFmtId="1" fontId="20" fillId="8" borderId="1" xfId="1" applyNumberFormat="1" applyFont="1" applyFill="1" applyBorder="1" applyAlignment="1">
      <alignment vertical="center"/>
    </xf>
    <xf numFmtId="2" fontId="24" fillId="0" borderId="1" xfId="0" applyNumberFormat="1" applyFont="1" applyBorder="1"/>
    <xf numFmtId="0" fontId="22" fillId="0" borderId="1" xfId="0" applyFont="1" applyBorder="1" applyAlignment="1">
      <alignment horizontal="center"/>
    </xf>
    <xf numFmtId="164" fontId="22" fillId="0" borderId="1" xfId="0" applyNumberFormat="1" applyFont="1" applyBorder="1"/>
    <xf numFmtId="2" fontId="22" fillId="0" borderId="1" xfId="0" applyNumberFormat="1" applyFont="1" applyBorder="1"/>
    <xf numFmtId="0" fontId="0" fillId="0" borderId="1" xfId="0" applyBorder="1" applyAlignment="1">
      <alignment horizontal="center" wrapText="1"/>
    </xf>
    <xf numFmtId="164" fontId="0" fillId="0" borderId="0" xfId="0" applyNumberFormat="1"/>
    <xf numFmtId="2" fontId="23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164" fontId="22" fillId="0" borderId="0" xfId="0" applyNumberFormat="1" applyFont="1"/>
    <xf numFmtId="2" fontId="22" fillId="0" borderId="0" xfId="0" applyNumberFormat="1" applyFont="1"/>
    <xf numFmtId="0" fontId="22" fillId="0" borderId="1" xfId="0" applyFont="1" applyBorder="1"/>
    <xf numFmtId="164" fontId="22" fillId="0" borderId="0" xfId="0" applyNumberFormat="1" applyFont="1" applyAlignment="1">
      <alignment vertical="center"/>
    </xf>
    <xf numFmtId="0" fontId="20" fillId="0" borderId="1" xfId="3" applyFont="1" applyBorder="1" applyAlignment="1">
      <alignment horizontal="left" vertical="top"/>
    </xf>
    <xf numFmtId="0" fontId="20" fillId="0" borderId="1" xfId="3" applyFont="1" applyBorder="1" applyAlignment="1">
      <alignment horizontal="right" vertical="top"/>
    </xf>
    <xf numFmtId="164" fontId="20" fillId="8" borderId="1" xfId="1" applyNumberFormat="1" applyFont="1" applyFill="1" applyBorder="1" applyAlignment="1">
      <alignment horizontal="right" vertical="top"/>
    </xf>
    <xf numFmtId="0" fontId="22" fillId="0" borderId="0" xfId="0" applyFont="1"/>
    <xf numFmtId="0" fontId="23" fillId="0" borderId="3" xfId="0" applyFont="1" applyBorder="1"/>
    <xf numFmtId="0" fontId="0" fillId="0" borderId="1" xfId="0" applyBorder="1" applyAlignment="1">
      <alignment wrapText="1"/>
    </xf>
    <xf numFmtId="164" fontId="22" fillId="0" borderId="0" xfId="0" applyNumberFormat="1" applyFont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20" fillId="8" borderId="1" xfId="3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0" fillId="8" borderId="1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0" fillId="0" borderId="1" xfId="3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164" fontId="23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0" fillId="8" borderId="1" xfId="3" applyFont="1" applyFill="1" applyBorder="1" applyAlignment="1">
      <alignment horizontal="left" vertical="center"/>
    </xf>
    <xf numFmtId="0" fontId="6" fillId="8" borderId="1" xfId="3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8" borderId="1" xfId="1" applyFont="1" applyFill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6" fillId="8" borderId="1" xfId="1" applyFont="1" applyFill="1" applyBorder="1" applyAlignment="1">
      <alignment horizontal="left" vertical="center"/>
    </xf>
    <xf numFmtId="0" fontId="20" fillId="0" borderId="1" xfId="3" applyFont="1" applyBorder="1" applyAlignment="1">
      <alignment horizontal="left" vertical="center"/>
    </xf>
    <xf numFmtId="0" fontId="20" fillId="8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" fontId="19" fillId="0" borderId="0" xfId="0" applyNumberFormat="1" applyFont="1" applyAlignment="1">
      <alignment horizontal="right"/>
    </xf>
    <xf numFmtId="0" fontId="26" fillId="8" borderId="1" xfId="1" applyFont="1" applyFill="1" applyBorder="1" applyAlignment="1">
      <alignment horizontal="center"/>
    </xf>
    <xf numFmtId="0" fontId="26" fillId="8" borderId="1" xfId="1" applyFont="1" applyFill="1" applyBorder="1" applyAlignment="1">
      <alignment horizontal="center" wrapText="1"/>
    </xf>
    <xf numFmtId="164" fontId="26" fillId="8" borderId="1" xfId="1" applyNumberFormat="1" applyFont="1" applyFill="1" applyBorder="1" applyAlignment="1">
      <alignment horizontal="center"/>
    </xf>
    <xf numFmtId="2" fontId="24" fillId="0" borderId="1" xfId="0" applyNumberFormat="1" applyFont="1" applyBorder="1" applyAlignment="1">
      <alignment horizontal="center"/>
    </xf>
    <xf numFmtId="0" fontId="24" fillId="0" borderId="1" xfId="0" applyFont="1" applyBorder="1" applyAlignment="1">
      <alignment horizontal="center" wrapText="1"/>
    </xf>
    <xf numFmtId="1" fontId="22" fillId="0" borderId="1" xfId="0" applyNumberFormat="1" applyFont="1" applyBorder="1" applyAlignment="1">
      <alignment horizontal="right" wrapText="1"/>
    </xf>
    <xf numFmtId="0" fontId="20" fillId="8" borderId="1" xfId="6" applyFont="1" applyFill="1" applyBorder="1" applyAlignment="1">
      <alignment horizontal="left" vertical="top"/>
    </xf>
    <xf numFmtId="164" fontId="20" fillId="8" borderId="1" xfId="6" applyNumberFormat="1" applyFont="1" applyFill="1" applyBorder="1" applyAlignment="1">
      <alignment horizontal="right" vertical="top"/>
    </xf>
    <xf numFmtId="1" fontId="19" fillId="0" borderId="1" xfId="0" applyNumberFormat="1" applyFont="1" applyBorder="1" applyAlignment="1">
      <alignment horizontal="right"/>
    </xf>
    <xf numFmtId="0" fontId="22" fillId="0" borderId="7" xfId="0" applyFont="1" applyBorder="1" applyAlignment="1">
      <alignment horizontal="left"/>
    </xf>
    <xf numFmtId="164" fontId="22" fillId="0" borderId="7" xfId="0" applyNumberFormat="1" applyFont="1" applyBorder="1"/>
    <xf numFmtId="2" fontId="22" fillId="0" borderId="7" xfId="0" applyNumberFormat="1" applyFont="1" applyBorder="1"/>
    <xf numFmtId="0" fontId="22" fillId="0" borderId="9" xfId="0" applyFont="1" applyBorder="1"/>
    <xf numFmtId="1" fontId="19" fillId="0" borderId="8" xfId="0" applyNumberFormat="1" applyFont="1" applyBorder="1" applyAlignment="1">
      <alignment horizontal="right"/>
    </xf>
    <xf numFmtId="1" fontId="24" fillId="0" borderId="1" xfId="0" applyNumberFormat="1" applyFont="1" applyBorder="1" applyAlignment="1">
      <alignment horizontal="right" wrapText="1"/>
    </xf>
    <xf numFmtId="164" fontId="24" fillId="0" borderId="1" xfId="0" applyNumberFormat="1" applyFont="1" applyBorder="1"/>
    <xf numFmtId="0" fontId="20" fillId="8" borderId="10" xfId="1" applyFont="1" applyFill="1" applyBorder="1" applyAlignment="1">
      <alignment horizontal="left" vertical="top"/>
    </xf>
    <xf numFmtId="2" fontId="24" fillId="0" borderId="2" xfId="0" applyNumberFormat="1" applyFont="1" applyBorder="1"/>
    <xf numFmtId="1" fontId="0" fillId="0" borderId="8" xfId="0" applyNumberFormat="1" applyBorder="1" applyAlignment="1">
      <alignment horizontal="right"/>
    </xf>
    <xf numFmtId="0" fontId="26" fillId="0" borderId="1" xfId="1" applyFont="1" applyBorder="1" applyAlignment="1">
      <alignment horizontal="center"/>
    </xf>
    <xf numFmtId="0" fontId="26" fillId="0" borderId="1" xfId="1" applyFont="1" applyBorder="1" applyAlignment="1">
      <alignment horizontal="center" wrapText="1"/>
    </xf>
    <xf numFmtId="164" fontId="20" fillId="0" borderId="1" xfId="1" applyNumberFormat="1" applyFont="1" applyBorder="1" applyAlignment="1">
      <alignment horizontal="right" vertical="top"/>
    </xf>
    <xf numFmtId="0" fontId="20" fillId="0" borderId="1" xfId="1" applyFont="1" applyBorder="1" applyAlignment="1">
      <alignment horizontal="left" vertical="top"/>
    </xf>
    <xf numFmtId="0" fontId="20" fillId="0" borderId="10" xfId="1" applyFont="1" applyBorder="1" applyAlignment="1">
      <alignment horizontal="left" vertical="top"/>
    </xf>
    <xf numFmtId="164" fontId="20" fillId="8" borderId="1" xfId="5" applyNumberFormat="1" applyFont="1" applyFill="1" applyBorder="1" applyAlignment="1">
      <alignment horizontal="right" vertical="top"/>
    </xf>
    <xf numFmtId="0" fontId="19" fillId="0" borderId="7" xfId="0" applyFont="1" applyBorder="1" applyAlignment="1">
      <alignment horizontal="center"/>
    </xf>
    <xf numFmtId="0" fontId="22" fillId="0" borderId="7" xfId="0" applyFont="1" applyBorder="1"/>
    <xf numFmtId="0" fontId="19" fillId="0" borderId="15" xfId="0" applyFont="1" applyBorder="1" applyAlignment="1">
      <alignment horizontal="center"/>
    </xf>
    <xf numFmtId="0" fontId="0" fillId="0" borderId="3" xfId="0" applyBorder="1"/>
    <xf numFmtId="0" fontId="6" fillId="0" borderId="3" xfId="0" applyFont="1" applyBorder="1"/>
    <xf numFmtId="164" fontId="19" fillId="0" borderId="3" xfId="0" applyNumberFormat="1" applyFont="1" applyBorder="1"/>
    <xf numFmtId="164" fontId="27" fillId="0" borderId="3" xfId="0" applyNumberFormat="1" applyFont="1" applyBorder="1"/>
    <xf numFmtId="2" fontId="0" fillId="0" borderId="3" xfId="0" applyNumberFormat="1" applyBorder="1"/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wrapText="1"/>
    </xf>
    <xf numFmtId="1" fontId="0" fillId="0" borderId="1" xfId="0" applyNumberFormat="1" applyBorder="1" applyAlignment="1">
      <alignment horizontal="right" wrapText="1"/>
    </xf>
    <xf numFmtId="1" fontId="6" fillId="0" borderId="1" xfId="0" applyNumberFormat="1" applyFont="1" applyBorder="1"/>
    <xf numFmtId="1" fontId="28" fillId="0" borderId="1" xfId="0" applyNumberFormat="1" applyFont="1" applyBorder="1" applyAlignment="1">
      <alignment horizontal="right"/>
    </xf>
    <xf numFmtId="1" fontId="6" fillId="0" borderId="2" xfId="0" applyNumberFormat="1" applyFont="1" applyBorder="1"/>
    <xf numFmtId="164" fontId="0" fillId="0" borderId="2" xfId="0" applyNumberFormat="1" applyBorder="1"/>
    <xf numFmtId="2" fontId="0" fillId="0" borderId="2" xfId="0" applyNumberFormat="1" applyBorder="1"/>
    <xf numFmtId="164" fontId="19" fillId="0" borderId="7" xfId="0" applyNumberFormat="1" applyFont="1" applyBorder="1"/>
    <xf numFmtId="2" fontId="19" fillId="0" borderId="7" xfId="0" applyNumberFormat="1" applyFont="1" applyBorder="1"/>
    <xf numFmtId="164" fontId="19" fillId="0" borderId="0" xfId="0" applyNumberFormat="1" applyFont="1"/>
    <xf numFmtId="1" fontId="0" fillId="0" borderId="3" xfId="0" applyNumberFormat="1" applyBorder="1" applyAlignment="1">
      <alignment horizontal="right"/>
    </xf>
    <xf numFmtId="0" fontId="0" fillId="0" borderId="1" xfId="0" applyBorder="1" applyAlignment="1">
      <alignment horizontal="left" vertical="center" wrapText="1"/>
    </xf>
    <xf numFmtId="0" fontId="20" fillId="8" borderId="1" xfId="5" applyFont="1" applyFill="1" applyBorder="1" applyAlignment="1">
      <alignment horizontal="left" vertical="top"/>
    </xf>
    <xf numFmtId="0" fontId="20" fillId="8" borderId="4" xfId="1" applyFont="1" applyFill="1" applyBorder="1" applyAlignment="1">
      <alignment horizontal="left" vertical="top"/>
    </xf>
    <xf numFmtId="1" fontId="20" fillId="8" borderId="4" xfId="1" applyNumberFormat="1" applyFont="1" applyFill="1" applyBorder="1" applyAlignment="1">
      <alignment vertical="center"/>
    </xf>
    <xf numFmtId="164" fontId="20" fillId="8" borderId="4" xfId="1" applyNumberFormat="1" applyFont="1" applyFill="1" applyBorder="1" applyAlignment="1">
      <alignment horizontal="right" vertical="top"/>
    </xf>
    <xf numFmtId="164" fontId="20" fillId="8" borderId="4" xfId="1" applyNumberFormat="1" applyFont="1" applyFill="1" applyBorder="1" applyAlignment="1">
      <alignment horizontal="left" vertical="top"/>
    </xf>
    <xf numFmtId="1" fontId="0" fillId="0" borderId="4" xfId="0" applyNumberFormat="1" applyBorder="1" applyAlignment="1">
      <alignment horizontal="right"/>
    </xf>
    <xf numFmtId="164" fontId="26" fillId="0" borderId="1" xfId="1" applyNumberFormat="1" applyFont="1" applyBorder="1" applyAlignment="1">
      <alignment horizontal="center"/>
    </xf>
    <xf numFmtId="0" fontId="20" fillId="0" borderId="1" xfId="5" applyFont="1" applyBorder="1" applyAlignment="1">
      <alignment horizontal="left" vertical="top"/>
    </xf>
    <xf numFmtId="164" fontId="20" fillId="0" borderId="1" xfId="5" applyNumberFormat="1" applyFont="1" applyBorder="1" applyAlignment="1">
      <alignment horizontal="right" vertical="top"/>
    </xf>
    <xf numFmtId="0" fontId="20" fillId="0" borderId="4" xfId="1" applyFont="1" applyBorder="1" applyAlignment="1">
      <alignment horizontal="left" vertical="top"/>
    </xf>
    <xf numFmtId="1" fontId="20" fillId="0" borderId="4" xfId="1" applyNumberFormat="1" applyFont="1" applyBorder="1" applyAlignment="1">
      <alignment vertical="center"/>
    </xf>
    <xf numFmtId="164" fontId="20" fillId="0" borderId="4" xfId="1" applyNumberFormat="1" applyFont="1" applyBorder="1" applyAlignment="1">
      <alignment horizontal="right" vertical="top"/>
    </xf>
    <xf numFmtId="164" fontId="20" fillId="0" borderId="4" xfId="1" applyNumberFormat="1" applyFont="1" applyBorder="1" applyAlignment="1">
      <alignment horizontal="left" vertical="top"/>
    </xf>
    <xf numFmtId="2" fontId="19" fillId="0" borderId="0" xfId="0" applyNumberFormat="1" applyFont="1"/>
    <xf numFmtId="2" fontId="19" fillId="0" borderId="3" xfId="0" applyNumberFormat="1" applyFont="1" applyBorder="1"/>
    <xf numFmtId="0" fontId="28" fillId="0" borderId="4" xfId="0" applyFont="1" applyBorder="1"/>
    <xf numFmtId="0" fontId="0" fillId="0" borderId="4" xfId="0" applyBorder="1" applyAlignment="1">
      <alignment horizontal="right"/>
    </xf>
    <xf numFmtId="1" fontId="19" fillId="0" borderId="13" xfId="0" applyNumberFormat="1" applyFont="1" applyBorder="1" applyAlignment="1">
      <alignment horizontal="right"/>
    </xf>
    <xf numFmtId="164" fontId="0" fillId="0" borderId="3" xfId="0" applyNumberFormat="1" applyBorder="1"/>
    <xf numFmtId="1" fontId="0" fillId="0" borderId="2" xfId="0" applyNumberFormat="1" applyBorder="1" applyAlignment="1">
      <alignment horizontal="right"/>
    </xf>
    <xf numFmtId="164" fontId="0" fillId="0" borderId="4" xfId="0" applyNumberFormat="1" applyBorder="1"/>
    <xf numFmtId="2" fontId="19" fillId="0" borderId="4" xfId="0" applyNumberFormat="1" applyFont="1" applyBorder="1" applyAlignment="1">
      <alignment horizontal="right"/>
    </xf>
    <xf numFmtId="1" fontId="19" fillId="0" borderId="8" xfId="0" applyNumberFormat="1" applyFont="1" applyBorder="1" applyAlignment="1">
      <alignment horizontal="right" wrapText="1"/>
    </xf>
    <xf numFmtId="1" fontId="19" fillId="0" borderId="14" xfId="0" applyNumberFormat="1" applyFont="1" applyBorder="1" applyAlignment="1">
      <alignment horizontal="right"/>
    </xf>
    <xf numFmtId="1" fontId="28" fillId="0" borderId="1" xfId="0" applyNumberFormat="1" applyFont="1" applyBorder="1"/>
    <xf numFmtId="164" fontId="27" fillId="0" borderId="0" xfId="0" applyNumberFormat="1" applyFont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wrapText="1"/>
    </xf>
    <xf numFmtId="2" fontId="24" fillId="0" borderId="4" xfId="0" applyNumberFormat="1" applyFont="1" applyBorder="1"/>
    <xf numFmtId="0" fontId="22" fillId="0" borderId="1" xfId="0" applyFont="1" applyBorder="1" applyAlignment="1">
      <alignment horizontal="left"/>
    </xf>
    <xf numFmtId="1" fontId="24" fillId="0" borderId="1" xfId="0" applyNumberFormat="1" applyFont="1" applyBorder="1"/>
    <xf numFmtId="1" fontId="0" fillId="0" borderId="0" xfId="0" applyNumberFormat="1"/>
    <xf numFmtId="0" fontId="17" fillId="0" borderId="0" xfId="0" applyFont="1" applyAlignment="1">
      <alignment horizontal="left" vertical="center"/>
    </xf>
    <xf numFmtId="0" fontId="20" fillId="8" borderId="1" xfId="1" applyFont="1" applyFill="1" applyBorder="1" applyAlignment="1">
      <alignment vertical="center"/>
    </xf>
    <xf numFmtId="0" fontId="21" fillId="0" borderId="1" xfId="3" applyFont="1" applyBorder="1" applyAlignment="1">
      <alignment horizontal="right" vertical="top"/>
    </xf>
    <xf numFmtId="1" fontId="22" fillId="0" borderId="1" xfId="0" applyNumberFormat="1" applyFont="1" applyBorder="1"/>
    <xf numFmtId="0" fontId="21" fillId="0" borderId="0" xfId="3" applyFont="1" applyAlignment="1">
      <alignment horizontal="right" vertical="top"/>
    </xf>
    <xf numFmtId="0" fontId="21" fillId="0" borderId="0" xfId="3" applyFont="1" applyAlignment="1">
      <alignment horizontal="left" vertical="top"/>
    </xf>
    <xf numFmtId="0" fontId="29" fillId="0" borderId="0" xfId="0" applyFont="1"/>
    <xf numFmtId="0" fontId="0" fillId="0" borderId="3" xfId="0" applyBorder="1" applyAlignment="1">
      <alignment horizontal="center"/>
    </xf>
    <xf numFmtId="0" fontId="0" fillId="0" borderId="16" xfId="0" applyBorder="1"/>
    <xf numFmtId="0" fontId="23" fillId="0" borderId="0" xfId="0" applyFont="1" applyAlignment="1">
      <alignment horizontal="left"/>
    </xf>
    <xf numFmtId="0" fontId="30" fillId="0" borderId="0" xfId="0" applyFont="1"/>
    <xf numFmtId="2" fontId="30" fillId="0" borderId="0" xfId="0" applyNumberFormat="1" applyFont="1"/>
    <xf numFmtId="0" fontId="30" fillId="0" borderId="1" xfId="0" applyFont="1" applyBorder="1"/>
    <xf numFmtId="0" fontId="31" fillId="0" borderId="1" xfId="0" applyFont="1" applyBorder="1" applyAlignment="1">
      <alignment horizontal="center" vertical="center" wrapText="1"/>
    </xf>
    <xf numFmtId="1" fontId="31" fillId="0" borderId="1" xfId="0" applyNumberFormat="1" applyFont="1" applyBorder="1" applyAlignment="1">
      <alignment horizontal="center" vertical="center" wrapText="1"/>
    </xf>
    <xf numFmtId="0" fontId="32" fillId="8" borderId="1" xfId="1" applyFont="1" applyFill="1" applyBorder="1" applyAlignment="1">
      <alignment vertical="center"/>
    </xf>
    <xf numFmtId="0" fontId="33" fillId="0" borderId="1" xfId="0" applyFont="1" applyBorder="1"/>
    <xf numFmtId="0" fontId="34" fillId="0" borderId="1" xfId="0" applyFont="1" applyBorder="1"/>
    <xf numFmtId="0" fontId="34" fillId="0" borderId="0" xfId="0" applyFont="1"/>
    <xf numFmtId="0" fontId="35" fillId="0" borderId="0" xfId="0" applyFont="1" applyAlignment="1">
      <alignment horizontal="center"/>
    </xf>
    <xf numFmtId="0" fontId="32" fillId="8" borderId="1" xfId="4" applyFont="1" applyFill="1" applyBorder="1" applyAlignment="1">
      <alignment horizontal="left" vertical="top"/>
    </xf>
    <xf numFmtId="0" fontId="32" fillId="8" borderId="1" xfId="4" applyFont="1" applyFill="1" applyBorder="1" applyAlignment="1">
      <alignment horizontal="right" vertical="top"/>
    </xf>
    <xf numFmtId="0" fontId="32" fillId="8" borderId="1" xfId="1" applyFont="1" applyFill="1" applyBorder="1" applyAlignment="1">
      <alignment horizontal="right" vertical="top"/>
    </xf>
    <xf numFmtId="0" fontId="34" fillId="0" borderId="0" xfId="0" applyFont="1" applyAlignment="1">
      <alignment vertical="center"/>
    </xf>
    <xf numFmtId="0" fontId="30" fillId="0" borderId="0" xfId="0" applyFont="1" applyAlignment="1">
      <alignment horizontal="center"/>
    </xf>
    <xf numFmtId="0" fontId="30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vertical="center"/>
    </xf>
    <xf numFmtId="0" fontId="34" fillId="0" borderId="0" xfId="0" applyFont="1" applyAlignment="1">
      <alignment horizontal="center"/>
    </xf>
    <xf numFmtId="0" fontId="4" fillId="11" borderId="0" xfId="0" applyFont="1" applyFill="1" applyAlignment="1">
      <alignment horizontal="center" vertical="center" wrapText="1"/>
    </xf>
    <xf numFmtId="1" fontId="0" fillId="11" borderId="0" xfId="0" applyNumberForma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8" fillId="10" borderId="0" xfId="0" applyFont="1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10" borderId="0" xfId="0" applyFill="1"/>
    <xf numFmtId="1" fontId="0" fillId="10" borderId="1" xfId="0" applyNumberFormat="1" applyFill="1" applyBorder="1" applyAlignment="1">
      <alignment horizontal="right"/>
    </xf>
    <xf numFmtId="1" fontId="0" fillId="10" borderId="1" xfId="0" applyNumberFormat="1" applyFill="1" applyBorder="1"/>
    <xf numFmtId="1" fontId="4" fillId="11" borderId="0" xfId="0" applyNumberFormat="1" applyFont="1" applyFill="1" applyAlignment="1">
      <alignment horizontal="center" vertical="center" wrapText="1"/>
    </xf>
    <xf numFmtId="1" fontId="4" fillId="2" borderId="0" xfId="0" applyNumberFormat="1" applyFont="1" applyFill="1" applyAlignment="1">
      <alignment horizontal="center" vertical="center" wrapText="1"/>
    </xf>
    <xf numFmtId="1" fontId="18" fillId="2" borderId="0" xfId="0" applyNumberFormat="1" applyFont="1" applyFill="1" applyAlignment="1">
      <alignment horizontal="center" vertical="center" wrapText="1"/>
    </xf>
    <xf numFmtId="1" fontId="18" fillId="11" borderId="0" xfId="0" applyNumberFormat="1" applyFont="1" applyFill="1" applyAlignment="1">
      <alignment horizontal="center" vertical="center" wrapText="1"/>
    </xf>
    <xf numFmtId="1" fontId="0" fillId="0" borderId="16" xfId="0" applyNumberFormat="1" applyBorder="1"/>
    <xf numFmtId="1" fontId="36" fillId="0" borderId="1" xfId="0" applyNumberFormat="1" applyFont="1" applyBorder="1"/>
    <xf numFmtId="1" fontId="6" fillId="9" borderId="1" xfId="0" applyNumberFormat="1" applyFont="1" applyFill="1" applyBorder="1"/>
    <xf numFmtId="1" fontId="6" fillId="10" borderId="1" xfId="0" applyNumberFormat="1" applyFont="1" applyFill="1" applyBorder="1"/>
    <xf numFmtId="1" fontId="24" fillId="10" borderId="1" xfId="0" applyNumberFormat="1" applyFont="1" applyFill="1" applyBorder="1"/>
    <xf numFmtId="1" fontId="0" fillId="3" borderId="0" xfId="0" applyNumberFormat="1" applyFill="1" applyAlignment="1">
      <alignment horizontal="center" vertical="center" wrapText="1"/>
    </xf>
    <xf numFmtId="0" fontId="0" fillId="0" borderId="0" xfId="0" applyFont="1"/>
    <xf numFmtId="164" fontId="0" fillId="0" borderId="0" xfId="0" applyNumberFormat="1" applyFont="1"/>
    <xf numFmtId="0" fontId="0" fillId="0" borderId="0" xfId="0" applyFont="1" applyAlignment="1">
      <alignment horizontal="right"/>
    </xf>
    <xf numFmtId="2" fontId="0" fillId="0" borderId="0" xfId="0" applyNumberFormat="1" applyFont="1"/>
    <xf numFmtId="0" fontId="24" fillId="0" borderId="1" xfId="0" applyFont="1" applyBorder="1" applyAlignment="1">
      <alignment horizontal="right" wrapText="1"/>
    </xf>
    <xf numFmtId="0" fontId="0" fillId="0" borderId="1" xfId="0" applyFont="1" applyBorder="1"/>
    <xf numFmtId="9" fontId="0" fillId="0" borderId="1" xfId="0" applyNumberFormat="1" applyFont="1" applyBorder="1" applyAlignment="1">
      <alignment horizontal="right"/>
    </xf>
    <xf numFmtId="0" fontId="0" fillId="0" borderId="1" xfId="0" applyFont="1" applyBorder="1" applyAlignment="1">
      <alignment horizontal="right"/>
    </xf>
    <xf numFmtId="1" fontId="0" fillId="0" borderId="8" xfId="0" applyNumberFormat="1" applyFont="1" applyBorder="1" applyAlignment="1">
      <alignment horizontal="right"/>
    </xf>
    <xf numFmtId="1" fontId="0" fillId="0" borderId="0" xfId="0" applyNumberFormat="1" applyFont="1" applyAlignment="1">
      <alignment horizontal="right"/>
    </xf>
    <xf numFmtId="0" fontId="0" fillId="0" borderId="4" xfId="0" applyFont="1" applyBorder="1"/>
    <xf numFmtId="0" fontId="0" fillId="0" borderId="4" xfId="0" applyFont="1" applyBorder="1" applyAlignment="1">
      <alignment horizontal="right"/>
    </xf>
    <xf numFmtId="2" fontId="24" fillId="0" borderId="7" xfId="0" applyNumberFormat="1" applyFont="1" applyBorder="1"/>
    <xf numFmtId="2" fontId="24" fillId="0" borderId="0" xfId="0" applyNumberFormat="1" applyFont="1"/>
    <xf numFmtId="164" fontId="0" fillId="0" borderId="1" xfId="0" applyNumberFormat="1" applyFont="1" applyBorder="1"/>
    <xf numFmtId="2" fontId="0" fillId="0" borderId="1" xfId="0" applyNumberFormat="1" applyFont="1" applyBorder="1"/>
    <xf numFmtId="2" fontId="0" fillId="0" borderId="7" xfId="0" applyNumberFormat="1" applyFont="1" applyBorder="1"/>
    <xf numFmtId="0" fontId="0" fillId="0" borderId="1" xfId="0" applyFont="1" applyBorder="1" applyAlignment="1">
      <alignment horizontal="left" vertical="center" wrapText="1"/>
    </xf>
    <xf numFmtId="164" fontId="0" fillId="0" borderId="4" xfId="0" applyNumberFormat="1" applyFont="1" applyBorder="1"/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26" fillId="8" borderId="1" xfId="1" applyFont="1" applyFill="1" applyBorder="1" applyAlignment="1">
      <alignment horizontal="center" vertical="center"/>
    </xf>
    <xf numFmtId="0" fontId="26" fillId="8" borderId="1" xfId="1" applyFont="1" applyFill="1" applyBorder="1" applyAlignment="1">
      <alignment horizontal="center" vertical="center" wrapText="1"/>
    </xf>
    <xf numFmtId="164" fontId="26" fillId="8" borderId="1" xfId="1" applyNumberFormat="1" applyFont="1" applyFill="1" applyBorder="1" applyAlignment="1">
      <alignment horizontal="center" vertical="center"/>
    </xf>
    <xf numFmtId="2" fontId="24" fillId="0" borderId="1" xfId="0" applyNumberFormat="1" applyFont="1" applyBorder="1" applyAlignment="1">
      <alignment horizontal="center" vertical="center"/>
    </xf>
    <xf numFmtId="0" fontId="0" fillId="9" borderId="0" xfId="0" applyFill="1"/>
    <xf numFmtId="0" fontId="0" fillId="0" borderId="2" xfId="0" applyFill="1" applyBorder="1"/>
    <xf numFmtId="0" fontId="0" fillId="12" borderId="0" xfId="0" applyFill="1"/>
    <xf numFmtId="0" fontId="3" fillId="12" borderId="0" xfId="0" applyFont="1" applyFill="1"/>
    <xf numFmtId="0" fontId="0" fillId="12" borderId="1" xfId="0" applyFill="1" applyBorder="1"/>
    <xf numFmtId="0" fontId="4" fillId="12" borderId="1" xfId="0" applyFont="1" applyFill="1" applyBorder="1" applyAlignment="1">
      <alignment horizontal="center" vertical="center" wrapText="1"/>
    </xf>
    <xf numFmtId="1" fontId="4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1" fontId="0" fillId="12" borderId="1" xfId="0" applyNumberFormat="1" applyFill="1" applyBorder="1"/>
    <xf numFmtId="0" fontId="0" fillId="12" borderId="0" xfId="0" applyFill="1" applyAlignment="1">
      <alignment horizontal="center" vertical="center" wrapText="1"/>
    </xf>
    <xf numFmtId="1" fontId="0" fillId="12" borderId="0" xfId="0" applyNumberFormat="1" applyFill="1" applyAlignment="1">
      <alignment horizontal="center" vertical="center" wrapText="1"/>
    </xf>
    <xf numFmtId="0" fontId="18" fillId="12" borderId="0" xfId="0" applyFont="1" applyFill="1" applyAlignment="1">
      <alignment horizontal="center" vertical="center" wrapText="1"/>
    </xf>
    <xf numFmtId="1" fontId="18" fillId="12" borderId="0" xfId="0" applyNumberFormat="1" applyFont="1" applyFill="1" applyAlignment="1">
      <alignment horizontal="center" vertical="center" wrapText="1"/>
    </xf>
    <xf numFmtId="1" fontId="0" fillId="9" borderId="1" xfId="0" applyNumberFormat="1" applyFill="1" applyBorder="1"/>
    <xf numFmtId="2" fontId="0" fillId="0" borderId="2" xfId="0" applyNumberFormat="1" applyFont="1" applyFill="1" applyBorder="1"/>
    <xf numFmtId="0" fontId="39" fillId="10" borderId="1" xfId="0" applyFont="1" applyFill="1" applyBorder="1" applyAlignment="1">
      <alignment vertical="center" wrapText="1"/>
    </xf>
    <xf numFmtId="0" fontId="39" fillId="9" borderId="1" xfId="0" applyFont="1" applyFill="1" applyBorder="1" applyAlignment="1">
      <alignment vertical="center" wrapText="1"/>
    </xf>
    <xf numFmtId="0" fontId="39" fillId="7" borderId="1" xfId="0" applyFont="1" applyFill="1" applyBorder="1" applyAlignment="1">
      <alignment vertical="center" wrapText="1"/>
    </xf>
    <xf numFmtId="0" fontId="40" fillId="10" borderId="0" xfId="0" applyFont="1" applyFill="1"/>
    <xf numFmtId="0" fontId="39" fillId="9" borderId="1" xfId="0" applyFont="1" applyFill="1" applyBorder="1" applyAlignment="1">
      <alignment horizontal="center" vertical="center" wrapText="1"/>
    </xf>
    <xf numFmtId="0" fontId="0" fillId="10" borderId="0" xfId="0" applyFill="1" applyBorder="1"/>
    <xf numFmtId="0" fontId="0" fillId="10" borderId="1" xfId="0" applyFill="1" applyBorder="1"/>
    <xf numFmtId="0" fontId="0" fillId="0" borderId="0" xfId="0" applyFill="1" applyBorder="1"/>
    <xf numFmtId="0" fontId="40" fillId="7" borderId="1" xfId="0" applyFont="1" applyFill="1" applyBorder="1"/>
    <xf numFmtId="0" fontId="0" fillId="0" borderId="1" xfId="0" applyBorder="1" applyAlignment="1">
      <alignment horizontal="left" vertical="top" wrapText="1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10" borderId="1" xfId="0" applyFont="1" applyFill="1" applyBorder="1"/>
    <xf numFmtId="0" fontId="0" fillId="10" borderId="16" xfId="0" applyFill="1" applyBorder="1"/>
    <xf numFmtId="0" fontId="14" fillId="10" borderId="1" xfId="0" applyFont="1" applyFill="1" applyBorder="1"/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vertical="center" wrapText="1"/>
    </xf>
    <xf numFmtId="0" fontId="0" fillId="0" borderId="1" xfId="0" applyFill="1" applyBorder="1"/>
    <xf numFmtId="0" fontId="0" fillId="9" borderId="1" xfId="0" applyFill="1" applyBorder="1"/>
    <xf numFmtId="0" fontId="38" fillId="9" borderId="1" xfId="7" applyFont="1" applyFill="1" applyBorder="1"/>
    <xf numFmtId="0" fontId="39" fillId="9" borderId="2" xfId="0" applyFont="1" applyFill="1" applyBorder="1" applyAlignment="1">
      <alignment vertical="center" wrapText="1"/>
    </xf>
    <xf numFmtId="0" fontId="0" fillId="7" borderId="1" xfId="0" applyFill="1" applyBorder="1"/>
    <xf numFmtId="0" fontId="44" fillId="10" borderId="2" xfId="0" applyFont="1" applyFill="1" applyBorder="1"/>
    <xf numFmtId="0" fontId="45" fillId="12" borderId="1" xfId="0" applyFont="1" applyFill="1" applyBorder="1"/>
    <xf numFmtId="0" fontId="46" fillId="9" borderId="1" xfId="0" applyFont="1" applyFill="1" applyBorder="1" applyAlignment="1">
      <alignment horizontal="left" vertical="center" wrapText="1"/>
    </xf>
    <xf numFmtId="2" fontId="46" fillId="9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47" fillId="0" borderId="1" xfId="0" applyFont="1" applyBorder="1"/>
    <xf numFmtId="0" fontId="14" fillId="0" borderId="1" xfId="0" applyFont="1" applyBorder="1" applyAlignment="1">
      <alignment horizontal="center"/>
    </xf>
    <xf numFmtId="0" fontId="39" fillId="12" borderId="1" xfId="0" applyFont="1" applyFill="1" applyBorder="1" applyAlignment="1">
      <alignment vertical="center" wrapText="1"/>
    </xf>
    <xf numFmtId="0" fontId="41" fillId="12" borderId="1" xfId="0" applyNumberFormat="1" applyFont="1" applyFill="1" applyBorder="1" applyAlignment="1"/>
    <xf numFmtId="0" fontId="0" fillId="12" borderId="16" xfId="0" applyFill="1" applyBorder="1"/>
    <xf numFmtId="0" fontId="0" fillId="0" borderId="0" xfId="0" applyBorder="1" applyAlignment="1">
      <alignment horizontal="center"/>
    </xf>
    <xf numFmtId="0" fontId="0" fillId="0" borderId="0" xfId="0" applyBorder="1"/>
    <xf numFmtId="1" fontId="0" fillId="0" borderId="0" xfId="0" applyNumberFormat="1" applyBorder="1"/>
    <xf numFmtId="0" fontId="38" fillId="12" borderId="1" xfId="7" applyFont="1" applyFill="1" applyBorder="1"/>
    <xf numFmtId="0" fontId="38" fillId="9" borderId="2" xfId="7" applyFont="1" applyFill="1" applyBorder="1"/>
    <xf numFmtId="0" fontId="0" fillId="9" borderId="2" xfId="0" applyFill="1" applyBorder="1"/>
    <xf numFmtId="0" fontId="40" fillId="9" borderId="1" xfId="0" applyFont="1" applyFill="1" applyBorder="1"/>
    <xf numFmtId="0" fontId="40" fillId="0" borderId="1" xfId="0" applyFont="1" applyFill="1" applyBorder="1"/>
    <xf numFmtId="0" fontId="40" fillId="0" borderId="2" xfId="0" applyFont="1" applyFill="1" applyBorder="1"/>
    <xf numFmtId="0" fontId="48" fillId="9" borderId="1" xfId="0" applyFont="1" applyFill="1" applyBorder="1" applyAlignment="1">
      <alignment vertical="center" wrapText="1"/>
    </xf>
    <xf numFmtId="1" fontId="24" fillId="0" borderId="2" xfId="0" applyNumberFormat="1" applyFont="1" applyFill="1" applyBorder="1"/>
    <xf numFmtId="0" fontId="16" fillId="0" borderId="1" xfId="0" applyFont="1" applyBorder="1"/>
    <xf numFmtId="0" fontId="16" fillId="12" borderId="1" xfId="0" applyFont="1" applyFill="1" applyBorder="1"/>
    <xf numFmtId="0" fontId="22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2" fontId="28" fillId="0" borderId="11" xfId="0" applyNumberFormat="1" applyFont="1" applyBorder="1" applyAlignment="1">
      <alignment horizontal="center"/>
    </xf>
    <xf numFmtId="2" fontId="28" fillId="0" borderId="12" xfId="0" applyNumberFormat="1" applyFont="1" applyBorder="1" applyAlignment="1">
      <alignment horizontal="center"/>
    </xf>
    <xf numFmtId="0" fontId="46" fillId="9" borderId="2" xfId="0" applyFont="1" applyFill="1" applyBorder="1" applyAlignment="1">
      <alignment horizontal="left" vertical="center" wrapText="1"/>
    </xf>
    <xf numFmtId="2" fontId="46" fillId="9" borderId="2" xfId="0" applyNumberFormat="1" applyFont="1" applyFill="1" applyBorder="1" applyAlignment="1">
      <alignment horizontal="left" vertical="center" wrapText="1"/>
    </xf>
  </cellXfs>
  <cellStyles count="8">
    <cellStyle name="Обычный" xfId="0" builtinId="0"/>
    <cellStyle name="Обычный 3" xfId="7"/>
    <cellStyle name="Обычный_Г,Ц," xfId="2"/>
    <cellStyle name="Обычный_Лист1" xfId="1"/>
    <cellStyle name="Обычный_Лист4" xfId="5"/>
    <cellStyle name="Обычный_Лист5" xfId="3"/>
    <cellStyle name="Обычный_Лист6" xfId="4"/>
    <cellStyle name="Обычный_М.Ц.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0"/>
  <sheetViews>
    <sheetView tabSelected="1" zoomScale="75" zoomScaleNormal="75" workbookViewId="0">
      <selection activeCell="N149" sqref="N149"/>
    </sheetView>
  </sheetViews>
  <sheetFormatPr defaultRowHeight="15"/>
  <cols>
    <col min="1" max="1" width="3.5703125" customWidth="1"/>
    <col min="2" max="2" width="41" customWidth="1"/>
    <col min="3" max="3" width="43.28515625" customWidth="1"/>
    <col min="4" max="4" width="10.42578125" customWidth="1"/>
    <col min="7" max="7" width="0.5703125" customWidth="1"/>
    <col min="10" max="10" width="14.85546875" customWidth="1"/>
    <col min="11" max="11" width="16.7109375" style="31" customWidth="1"/>
  </cols>
  <sheetData>
    <row r="1" spans="1:11" ht="62.25" customHeight="1">
      <c r="B1" t="s">
        <v>573</v>
      </c>
      <c r="C1" t="s">
        <v>574</v>
      </c>
      <c r="D1" t="s">
        <v>575</v>
      </c>
      <c r="E1" t="s">
        <v>576</v>
      </c>
      <c r="F1" t="s">
        <v>577</v>
      </c>
      <c r="H1" t="s">
        <v>428</v>
      </c>
      <c r="I1" t="s">
        <v>578</v>
      </c>
      <c r="K1" s="31" t="s">
        <v>802</v>
      </c>
    </row>
    <row r="2" spans="1:11">
      <c r="A2" s="1"/>
      <c r="B2" s="306" t="s">
        <v>579</v>
      </c>
      <c r="C2" s="307"/>
      <c r="D2" s="1"/>
      <c r="E2" s="1"/>
      <c r="F2" s="1"/>
      <c r="G2" s="1"/>
      <c r="H2" s="1">
        <f t="shared" ref="H2:H7" si="0">F2+G2</f>
        <v>0</v>
      </c>
      <c r="I2" s="1"/>
    </row>
    <row r="3" spans="1:11" ht="35.25" customHeight="1">
      <c r="A3" s="1">
        <v>1</v>
      </c>
      <c r="B3" s="307" t="s">
        <v>580</v>
      </c>
      <c r="C3" s="307" t="s">
        <v>581</v>
      </c>
      <c r="D3" s="1">
        <v>0.25</v>
      </c>
      <c r="E3" s="1">
        <v>40</v>
      </c>
      <c r="F3" s="1">
        <f>E3*3</f>
        <v>120</v>
      </c>
      <c r="G3" s="350"/>
      <c r="H3" s="1">
        <f t="shared" si="0"/>
        <v>120</v>
      </c>
      <c r="I3" s="1">
        <v>200</v>
      </c>
      <c r="K3" s="31" t="s">
        <v>806</v>
      </c>
    </row>
    <row r="4" spans="1:11" ht="47.25" customHeight="1">
      <c r="A4" s="1">
        <v>2</v>
      </c>
      <c r="B4" s="307" t="s">
        <v>582</v>
      </c>
      <c r="C4" s="307" t="s">
        <v>583</v>
      </c>
      <c r="D4" s="1">
        <v>0.25</v>
      </c>
      <c r="E4" s="1">
        <v>47</v>
      </c>
      <c r="F4" s="1">
        <f t="shared" ref="F4:F5" si="1">E4*3</f>
        <v>141</v>
      </c>
      <c r="G4" s="350"/>
      <c r="H4" s="1">
        <f t="shared" si="0"/>
        <v>141</v>
      </c>
      <c r="I4" s="1">
        <v>200</v>
      </c>
      <c r="K4" s="31" t="s">
        <v>809</v>
      </c>
    </row>
    <row r="5" spans="1:11" ht="64.5" customHeight="1">
      <c r="A5" s="1">
        <v>3</v>
      </c>
      <c r="B5" s="307" t="s">
        <v>72</v>
      </c>
      <c r="C5" s="307" t="s">
        <v>584</v>
      </c>
      <c r="D5" s="1">
        <v>0.25</v>
      </c>
      <c r="E5" s="1">
        <v>49</v>
      </c>
      <c r="F5" s="1">
        <f t="shared" si="1"/>
        <v>147</v>
      </c>
      <c r="G5" s="350"/>
      <c r="H5" s="1">
        <f t="shared" si="0"/>
        <v>147</v>
      </c>
      <c r="I5" s="1">
        <v>200</v>
      </c>
      <c r="K5" s="31" t="s">
        <v>812</v>
      </c>
    </row>
    <row r="6" spans="1:11" ht="49.5" customHeight="1">
      <c r="A6" s="1"/>
      <c r="B6" s="308" t="s">
        <v>585</v>
      </c>
      <c r="C6" s="307" t="s">
        <v>586</v>
      </c>
      <c r="D6" s="307" t="s">
        <v>587</v>
      </c>
      <c r="E6" s="307" t="s">
        <v>588</v>
      </c>
      <c r="F6" s="1">
        <v>90</v>
      </c>
      <c r="G6" s="350"/>
      <c r="H6" s="1">
        <f t="shared" si="0"/>
        <v>90</v>
      </c>
      <c r="I6" s="1">
        <v>100</v>
      </c>
    </row>
    <row r="7" spans="1:11" ht="42" customHeight="1">
      <c r="A7" s="1"/>
      <c r="B7" s="308" t="s">
        <v>589</v>
      </c>
      <c r="C7" s="307" t="s">
        <v>590</v>
      </c>
      <c r="D7" s="1">
        <v>0.1</v>
      </c>
      <c r="E7" s="1">
        <v>65</v>
      </c>
      <c r="F7" s="1">
        <f>E7*3</f>
        <v>195</v>
      </c>
      <c r="G7" s="350"/>
      <c r="H7" s="1">
        <f t="shared" si="0"/>
        <v>195</v>
      </c>
      <c r="I7" s="1">
        <v>200</v>
      </c>
    </row>
    <row r="8" spans="1:11" ht="18.75">
      <c r="B8" s="309" t="s">
        <v>591</v>
      </c>
      <c r="C8" s="309"/>
      <c r="G8" s="350"/>
      <c r="H8" s="1"/>
    </row>
    <row r="9" spans="1:11" ht="71.25">
      <c r="A9" s="1">
        <v>1</v>
      </c>
      <c r="B9" s="310" t="s">
        <v>718</v>
      </c>
      <c r="C9" s="307" t="s">
        <v>719</v>
      </c>
      <c r="D9" s="1">
        <v>0.23</v>
      </c>
      <c r="E9" s="1">
        <v>220</v>
      </c>
      <c r="F9" s="1">
        <f>E9*2.5</f>
        <v>550</v>
      </c>
      <c r="G9" s="350"/>
      <c r="H9" s="1">
        <f>F9+G9</f>
        <v>550</v>
      </c>
      <c r="I9" s="1">
        <v>550</v>
      </c>
      <c r="K9" s="31" t="s">
        <v>818</v>
      </c>
    </row>
    <row r="10" spans="1:11" ht="51" customHeight="1">
      <c r="A10" s="1">
        <v>3</v>
      </c>
      <c r="B10" s="307" t="s">
        <v>592</v>
      </c>
      <c r="C10" s="307" t="s">
        <v>593</v>
      </c>
      <c r="D10" s="1">
        <v>0.25</v>
      </c>
      <c r="E10" s="1">
        <v>170</v>
      </c>
      <c r="F10" s="1">
        <f>E10*2.5</f>
        <v>425</v>
      </c>
      <c r="G10" s="350"/>
      <c r="H10" s="1">
        <f>F10+G10</f>
        <v>425</v>
      </c>
      <c r="I10" s="1">
        <v>425</v>
      </c>
      <c r="K10" s="31" t="s">
        <v>821</v>
      </c>
    </row>
    <row r="11" spans="1:11" ht="110.25" customHeight="1">
      <c r="A11" s="1">
        <v>4</v>
      </c>
      <c r="B11" s="307" t="s">
        <v>594</v>
      </c>
      <c r="C11" s="307" t="s">
        <v>595</v>
      </c>
      <c r="D11" s="1">
        <v>0.2</v>
      </c>
      <c r="E11" s="1">
        <v>139</v>
      </c>
      <c r="F11" s="1">
        <f>E11*2.5</f>
        <v>347.5</v>
      </c>
      <c r="G11" s="350"/>
      <c r="H11" s="1">
        <f>F11+G11</f>
        <v>347.5</v>
      </c>
      <c r="I11" s="1">
        <v>350</v>
      </c>
      <c r="K11" s="31" t="s">
        <v>822</v>
      </c>
    </row>
    <row r="12" spans="1:11" ht="93" customHeight="1">
      <c r="A12" s="311">
        <v>5</v>
      </c>
      <c r="B12" s="306" t="s">
        <v>730</v>
      </c>
      <c r="C12" s="306" t="s">
        <v>725</v>
      </c>
      <c r="D12" s="312">
        <v>0.23</v>
      </c>
      <c r="E12" s="312">
        <v>231</v>
      </c>
      <c r="F12" s="312">
        <f>E12*2</f>
        <v>462</v>
      </c>
      <c r="G12" s="350"/>
      <c r="H12" s="312">
        <f>F12+G12</f>
        <v>462</v>
      </c>
      <c r="I12" s="312">
        <v>450</v>
      </c>
      <c r="K12" s="31" t="s">
        <v>823</v>
      </c>
    </row>
    <row r="13" spans="1:11" ht="93" customHeight="1">
      <c r="A13" s="313"/>
      <c r="B13" s="307" t="s">
        <v>729</v>
      </c>
      <c r="C13" s="307" t="s">
        <v>731</v>
      </c>
      <c r="D13" s="1">
        <v>0.25</v>
      </c>
      <c r="E13" s="1">
        <v>192</v>
      </c>
      <c r="F13" s="1">
        <f>E13*2</f>
        <v>384</v>
      </c>
      <c r="G13" s="350"/>
      <c r="H13" s="1">
        <f>F13+G13</f>
        <v>384</v>
      </c>
      <c r="I13" s="1">
        <v>400</v>
      </c>
      <c r="K13" s="31" t="s">
        <v>816</v>
      </c>
    </row>
    <row r="14" spans="1:11" ht="18.75">
      <c r="A14" s="1"/>
      <c r="B14" s="314" t="s">
        <v>596</v>
      </c>
      <c r="C14" s="1"/>
      <c r="D14" s="1"/>
      <c r="E14" s="1"/>
      <c r="F14" s="1"/>
      <c r="G14" s="350"/>
      <c r="H14" s="1"/>
      <c r="I14" s="1"/>
    </row>
    <row r="15" spans="1:11" ht="99.75" customHeight="1">
      <c r="A15" s="312">
        <v>1</v>
      </c>
      <c r="B15" s="306" t="s">
        <v>732</v>
      </c>
      <c r="C15" s="306" t="s">
        <v>597</v>
      </c>
      <c r="D15" s="312">
        <v>0.2</v>
      </c>
      <c r="E15" s="312">
        <v>155</v>
      </c>
      <c r="F15" s="312">
        <f>E15*3</f>
        <v>465</v>
      </c>
      <c r="G15" s="350"/>
      <c r="H15" s="312">
        <f>F15+G15</f>
        <v>465</v>
      </c>
      <c r="I15" s="312">
        <v>400</v>
      </c>
      <c r="J15" s="31" t="s">
        <v>598</v>
      </c>
      <c r="K15" s="31" t="s">
        <v>825</v>
      </c>
    </row>
    <row r="16" spans="1:11" ht="58.5" customHeight="1">
      <c r="A16" s="312">
        <v>2</v>
      </c>
      <c r="B16" s="312" t="s">
        <v>733</v>
      </c>
      <c r="C16" s="306" t="s">
        <v>599</v>
      </c>
      <c r="D16" s="312">
        <v>0.2</v>
      </c>
      <c r="E16" s="312">
        <v>75</v>
      </c>
      <c r="F16" s="312">
        <f t="shared" ref="F16:F17" si="2">E16*3</f>
        <v>225</v>
      </c>
      <c r="G16" s="350"/>
      <c r="H16" s="312">
        <f>F16+G16</f>
        <v>225</v>
      </c>
      <c r="I16" s="312">
        <v>200</v>
      </c>
      <c r="J16" s="31" t="s">
        <v>598</v>
      </c>
      <c r="K16" s="31" t="s">
        <v>826</v>
      </c>
    </row>
    <row r="17" spans="1:11" ht="102.75" customHeight="1">
      <c r="A17" s="312">
        <v>3</v>
      </c>
      <c r="B17" s="306" t="s">
        <v>734</v>
      </c>
      <c r="C17" s="306" t="s">
        <v>600</v>
      </c>
      <c r="D17" s="312">
        <v>0.2</v>
      </c>
      <c r="E17" s="312">
        <v>204</v>
      </c>
      <c r="F17" s="312">
        <f t="shared" si="2"/>
        <v>612</v>
      </c>
      <c r="G17" s="350"/>
      <c r="H17" s="312">
        <f>F17+G17</f>
        <v>612</v>
      </c>
      <c r="I17" s="312">
        <v>550</v>
      </c>
      <c r="J17" s="31" t="s">
        <v>598</v>
      </c>
      <c r="K17" s="31" t="s">
        <v>827</v>
      </c>
    </row>
    <row r="18" spans="1:11" ht="113.25" customHeight="1">
      <c r="A18" s="312">
        <v>4</v>
      </c>
      <c r="B18" s="306" t="s">
        <v>735</v>
      </c>
      <c r="C18" s="312"/>
      <c r="D18" s="312">
        <v>0.2</v>
      </c>
      <c r="E18" s="312">
        <v>222</v>
      </c>
      <c r="F18" s="312">
        <f>E18*2.5</f>
        <v>555</v>
      </c>
      <c r="G18" s="350"/>
      <c r="H18" s="312">
        <f>F18+G18</f>
        <v>555</v>
      </c>
      <c r="I18" s="312">
        <v>550</v>
      </c>
      <c r="J18" s="31" t="s">
        <v>598</v>
      </c>
      <c r="K18" s="31" t="s">
        <v>828</v>
      </c>
    </row>
    <row r="19" spans="1:11" ht="15.75">
      <c r="A19" s="313"/>
      <c r="B19" s="306" t="s">
        <v>601</v>
      </c>
      <c r="C19" s="307"/>
      <c r="D19" s="1"/>
      <c r="E19" s="1"/>
      <c r="F19" s="1"/>
      <c r="G19" s="350"/>
      <c r="H19" s="1"/>
      <c r="I19" s="1"/>
    </row>
    <row r="20" spans="1:11" ht="111.75" customHeight="1">
      <c r="A20" s="1">
        <v>1</v>
      </c>
      <c r="B20" s="315" t="s">
        <v>602</v>
      </c>
      <c r="C20" s="315" t="s">
        <v>603</v>
      </c>
      <c r="D20" s="1">
        <v>0.2</v>
      </c>
      <c r="E20" s="1">
        <v>142</v>
      </c>
      <c r="F20" s="1">
        <f>E20*2</f>
        <v>284</v>
      </c>
      <c r="G20" s="350"/>
      <c r="H20" s="1">
        <f>F20+G20</f>
        <v>284</v>
      </c>
      <c r="I20" s="1">
        <v>300</v>
      </c>
      <c r="K20" s="31" t="s">
        <v>829</v>
      </c>
    </row>
    <row r="21" spans="1:11" ht="123.75" customHeight="1">
      <c r="A21" s="1">
        <v>2</v>
      </c>
      <c r="B21" s="4" t="s">
        <v>70</v>
      </c>
      <c r="C21" s="315" t="s">
        <v>604</v>
      </c>
      <c r="D21" s="1">
        <v>0.23</v>
      </c>
      <c r="E21" s="1">
        <v>123</v>
      </c>
      <c r="F21" s="1">
        <f>E21*2</f>
        <v>246</v>
      </c>
      <c r="G21" s="350"/>
      <c r="H21" s="1">
        <f>F21+G21</f>
        <v>246</v>
      </c>
      <c r="I21" s="1">
        <v>250</v>
      </c>
      <c r="K21" s="31" t="s">
        <v>830</v>
      </c>
    </row>
    <row r="22" spans="1:11" ht="147" customHeight="1">
      <c r="A22" s="1">
        <v>3</v>
      </c>
      <c r="B22" s="316" t="s">
        <v>605</v>
      </c>
      <c r="C22" s="317" t="s">
        <v>606</v>
      </c>
      <c r="D22" s="312">
        <v>0.2</v>
      </c>
      <c r="E22" s="312">
        <v>150</v>
      </c>
      <c r="F22" s="312">
        <f>E22*2</f>
        <v>300</v>
      </c>
      <c r="G22" s="350"/>
      <c r="H22" s="312">
        <f>F22+G22</f>
        <v>300</v>
      </c>
      <c r="I22" s="312">
        <v>300</v>
      </c>
      <c r="K22" s="31" t="s">
        <v>847</v>
      </c>
    </row>
    <row r="23" spans="1:11" ht="129" customHeight="1">
      <c r="A23" s="1">
        <v>4</v>
      </c>
      <c r="B23" s="1" t="s">
        <v>607</v>
      </c>
      <c r="C23" s="318" t="s">
        <v>608</v>
      </c>
      <c r="D23" s="1">
        <v>0.2</v>
      </c>
      <c r="E23" s="1">
        <v>103</v>
      </c>
      <c r="F23" s="1">
        <f>E23*3</f>
        <v>309</v>
      </c>
      <c r="G23" s="350"/>
      <c r="H23" s="1">
        <f>F23+G23</f>
        <v>309</v>
      </c>
      <c r="I23" s="1">
        <v>300</v>
      </c>
      <c r="K23" s="31" t="s">
        <v>831</v>
      </c>
    </row>
    <row r="24" spans="1:11" ht="37.5" customHeight="1">
      <c r="A24" s="1"/>
      <c r="B24" s="319" t="s">
        <v>609</v>
      </c>
      <c r="C24" s="319"/>
      <c r="D24" s="1"/>
      <c r="E24" s="1"/>
      <c r="F24" s="1"/>
      <c r="G24" s="350"/>
      <c r="H24" s="1"/>
      <c r="I24" s="1"/>
    </row>
    <row r="25" spans="1:11" ht="154.5" customHeight="1">
      <c r="A25" s="1">
        <v>1</v>
      </c>
      <c r="B25" s="307" t="s">
        <v>610</v>
      </c>
      <c r="C25" s="307" t="s">
        <v>738</v>
      </c>
      <c r="D25" s="1">
        <v>0.2</v>
      </c>
      <c r="E25" s="1">
        <v>144</v>
      </c>
      <c r="F25" s="1">
        <f>E25*2.5</f>
        <v>360</v>
      </c>
      <c r="G25" s="350"/>
      <c r="H25" s="1">
        <f>F25+G25</f>
        <v>360</v>
      </c>
      <c r="I25" s="1">
        <v>370</v>
      </c>
      <c r="K25" s="31" t="s">
        <v>832</v>
      </c>
    </row>
    <row r="26" spans="1:11" ht="154.5" customHeight="1">
      <c r="A26" s="312"/>
      <c r="B26" s="306" t="s">
        <v>611</v>
      </c>
      <c r="C26" s="306"/>
      <c r="D26" s="312">
        <v>0.2</v>
      </c>
      <c r="E26" s="312">
        <v>152</v>
      </c>
      <c r="F26" s="312">
        <f>E26*2</f>
        <v>304</v>
      </c>
      <c r="G26" s="350"/>
      <c r="H26" s="312">
        <f>F26+G26</f>
        <v>304</v>
      </c>
      <c r="I26" s="312">
        <v>320</v>
      </c>
      <c r="K26" s="31" t="s">
        <v>848</v>
      </c>
    </row>
    <row r="27" spans="1:11" ht="154.5" customHeight="1">
      <c r="A27" s="312"/>
      <c r="B27" s="306" t="s">
        <v>612</v>
      </c>
      <c r="C27" s="306"/>
      <c r="D27" s="312">
        <v>0.2</v>
      </c>
      <c r="E27" s="312">
        <v>68</v>
      </c>
      <c r="F27" s="312">
        <f>E27*3</f>
        <v>204</v>
      </c>
      <c r="G27" s="350"/>
      <c r="H27" s="312">
        <f>F27+G27</f>
        <v>204</v>
      </c>
      <c r="I27" s="312">
        <v>250</v>
      </c>
      <c r="K27" s="31" t="s">
        <v>849</v>
      </c>
    </row>
    <row r="28" spans="1:11" ht="76.5" customHeight="1">
      <c r="A28" s="1">
        <v>2</v>
      </c>
      <c r="B28" s="307" t="s">
        <v>736</v>
      </c>
      <c r="C28" s="307" t="s">
        <v>613</v>
      </c>
      <c r="D28" s="1">
        <v>0.2</v>
      </c>
      <c r="E28" s="270">
        <v>112</v>
      </c>
      <c r="F28" s="1">
        <f t="shared" ref="F28:F123" si="3">E28*3</f>
        <v>336</v>
      </c>
      <c r="G28" s="350"/>
      <c r="H28" s="1">
        <f>F28+G28</f>
        <v>336</v>
      </c>
      <c r="I28" s="1">
        <v>300</v>
      </c>
      <c r="K28" s="31" t="s">
        <v>833</v>
      </c>
    </row>
    <row r="29" spans="1:11" ht="198.75" customHeight="1">
      <c r="A29" s="295">
        <v>3</v>
      </c>
      <c r="B29" s="336" t="s">
        <v>614</v>
      </c>
      <c r="C29" s="336" t="s">
        <v>615</v>
      </c>
      <c r="D29" s="295">
        <v>0.22</v>
      </c>
      <c r="E29" s="337">
        <v>306</v>
      </c>
      <c r="F29" s="295">
        <f t="shared" si="3"/>
        <v>918</v>
      </c>
      <c r="G29" s="350"/>
      <c r="H29" s="295">
        <f>F29+G29</f>
        <v>918</v>
      </c>
      <c r="I29" s="295">
        <v>750</v>
      </c>
      <c r="J29" t="s">
        <v>739</v>
      </c>
    </row>
    <row r="30" spans="1:11" ht="126" customHeight="1">
      <c r="A30" s="295">
        <v>4</v>
      </c>
      <c r="B30" s="336" t="s">
        <v>616</v>
      </c>
      <c r="C30" s="336" t="s">
        <v>617</v>
      </c>
      <c r="D30" s="295">
        <v>0.25</v>
      </c>
      <c r="E30" s="338"/>
      <c r="F30" s="295"/>
      <c r="G30" s="350"/>
      <c r="H30" s="295"/>
      <c r="I30" s="295">
        <v>560</v>
      </c>
      <c r="J30" t="s">
        <v>739</v>
      </c>
    </row>
    <row r="31" spans="1:11" ht="126" customHeight="1">
      <c r="A31" s="1">
        <v>5</v>
      </c>
      <c r="B31" s="307" t="s">
        <v>618</v>
      </c>
      <c r="C31" s="307" t="s">
        <v>619</v>
      </c>
      <c r="D31" s="1">
        <v>0.3</v>
      </c>
      <c r="E31" s="224">
        <v>78</v>
      </c>
      <c r="F31" s="1">
        <f>E31*3</f>
        <v>234</v>
      </c>
      <c r="G31" s="350"/>
      <c r="H31" s="1">
        <f>G31+F31</f>
        <v>234</v>
      </c>
      <c r="I31" s="1">
        <v>300</v>
      </c>
      <c r="K31" s="31" t="s">
        <v>834</v>
      </c>
    </row>
    <row r="32" spans="1:11" ht="126" customHeight="1">
      <c r="A32" s="312">
        <v>6</v>
      </c>
      <c r="B32" s="306" t="s">
        <v>620</v>
      </c>
      <c r="C32" s="306" t="s">
        <v>740</v>
      </c>
      <c r="D32" s="312">
        <v>0.25</v>
      </c>
      <c r="E32" s="320">
        <v>304</v>
      </c>
      <c r="F32" s="312">
        <f>E32*2</f>
        <v>608</v>
      </c>
      <c r="G32" s="350"/>
      <c r="H32" s="312">
        <f>G32+F32</f>
        <v>608</v>
      </c>
      <c r="I32" s="312">
        <v>600</v>
      </c>
      <c r="K32" s="31" t="s">
        <v>846</v>
      </c>
    </row>
    <row r="33" spans="1:11" ht="126" customHeight="1">
      <c r="A33" s="312">
        <v>7</v>
      </c>
      <c r="B33" s="306" t="s">
        <v>621</v>
      </c>
      <c r="C33" s="306" t="s">
        <v>805</v>
      </c>
      <c r="D33" s="312">
        <v>0.25</v>
      </c>
      <c r="E33" s="320">
        <v>53</v>
      </c>
      <c r="F33" s="312">
        <f>E33*3</f>
        <v>159</v>
      </c>
      <c r="G33" s="350"/>
      <c r="H33" s="312">
        <f>G33+F33</f>
        <v>159</v>
      </c>
      <c r="I33" s="312">
        <v>200</v>
      </c>
      <c r="K33" s="31" t="s">
        <v>850</v>
      </c>
    </row>
    <row r="34" spans="1:11" ht="126" customHeight="1">
      <c r="A34" s="312">
        <v>8</v>
      </c>
      <c r="B34" s="306" t="s">
        <v>800</v>
      </c>
      <c r="C34" s="306" t="s">
        <v>801</v>
      </c>
      <c r="D34" s="312">
        <v>0.3</v>
      </c>
      <c r="E34" s="320">
        <v>150</v>
      </c>
      <c r="F34" s="312">
        <f>E34*3</f>
        <v>450</v>
      </c>
      <c r="G34" s="350"/>
      <c r="H34" s="312">
        <v>450</v>
      </c>
      <c r="I34" s="312">
        <v>450</v>
      </c>
      <c r="K34" t="s">
        <v>803</v>
      </c>
    </row>
    <row r="35" spans="1:11" ht="28.5">
      <c r="A35" s="1"/>
      <c r="B35" s="308" t="s">
        <v>622</v>
      </c>
      <c r="C35" s="307"/>
      <c r="D35" s="1"/>
      <c r="E35" s="1"/>
      <c r="F35" s="1"/>
      <c r="G35" s="350"/>
      <c r="H35" s="1"/>
      <c r="I35" s="1"/>
    </row>
    <row r="36" spans="1:11" ht="127.5" customHeight="1">
      <c r="A36" s="312">
        <v>1</v>
      </c>
      <c r="B36" s="306" t="s">
        <v>745</v>
      </c>
      <c r="C36" s="306" t="s">
        <v>746</v>
      </c>
      <c r="D36" s="312">
        <v>0.25</v>
      </c>
      <c r="E36" s="312">
        <v>237</v>
      </c>
      <c r="F36" s="312">
        <f>E36*2</f>
        <v>474</v>
      </c>
      <c r="G36" s="350"/>
      <c r="H36" s="312">
        <f>F36+G36</f>
        <v>474</v>
      </c>
      <c r="I36" s="312">
        <v>500</v>
      </c>
      <c r="J36" s="31" t="s">
        <v>598</v>
      </c>
      <c r="K36" s="31" t="s">
        <v>835</v>
      </c>
    </row>
    <row r="37" spans="1:11" ht="133.5" customHeight="1">
      <c r="A37" s="312">
        <v>2</v>
      </c>
      <c r="B37" s="306" t="s">
        <v>623</v>
      </c>
      <c r="C37" s="306" t="s">
        <v>747</v>
      </c>
      <c r="D37" s="312">
        <v>0.25</v>
      </c>
      <c r="E37" s="312">
        <v>108</v>
      </c>
      <c r="F37" s="312">
        <f>E37*2.5</f>
        <v>270</v>
      </c>
      <c r="G37" s="350"/>
      <c r="H37" s="312">
        <f>F37+G37</f>
        <v>270</v>
      </c>
      <c r="I37" s="312">
        <v>300</v>
      </c>
      <c r="J37" s="31" t="s">
        <v>598</v>
      </c>
      <c r="K37" s="31" t="s">
        <v>836</v>
      </c>
    </row>
    <row r="38" spans="1:11" ht="111.75" customHeight="1">
      <c r="A38" s="312">
        <v>3</v>
      </c>
      <c r="B38" s="306" t="s">
        <v>624</v>
      </c>
      <c r="C38" s="306" t="s">
        <v>625</v>
      </c>
      <c r="D38" s="312">
        <v>0.25</v>
      </c>
      <c r="E38" s="312">
        <v>228</v>
      </c>
      <c r="F38" s="312">
        <f>E38*2.3</f>
        <v>524.4</v>
      </c>
      <c r="G38" s="350"/>
      <c r="H38" s="312">
        <f>F38+G38</f>
        <v>524.4</v>
      </c>
      <c r="I38" s="312">
        <v>500</v>
      </c>
      <c r="J38" s="31" t="s">
        <v>598</v>
      </c>
      <c r="K38" s="31" t="s">
        <v>837</v>
      </c>
    </row>
    <row r="39" spans="1:11" ht="15.75">
      <c r="A39" s="1"/>
      <c r="B39" s="321" t="s">
        <v>626</v>
      </c>
      <c r="C39" s="321"/>
      <c r="D39" s="1"/>
      <c r="E39" s="1"/>
      <c r="F39" s="1"/>
      <c r="G39" s="350"/>
      <c r="H39" s="1"/>
      <c r="I39" s="1"/>
    </row>
    <row r="40" spans="1:11" ht="126" customHeight="1">
      <c r="A40" s="1">
        <v>1</v>
      </c>
      <c r="B40" s="307" t="s">
        <v>795</v>
      </c>
      <c r="C40" s="307" t="s">
        <v>749</v>
      </c>
      <c r="D40" s="1">
        <v>0.25</v>
      </c>
      <c r="E40" s="1">
        <v>127</v>
      </c>
      <c r="F40" s="1">
        <f>E40*2.5</f>
        <v>317.5</v>
      </c>
      <c r="G40" s="350"/>
      <c r="H40" s="1">
        <f t="shared" ref="H40:H45" si="4">F40+G40</f>
        <v>317.5</v>
      </c>
      <c r="I40" s="1">
        <v>320</v>
      </c>
      <c r="K40" s="31" t="s">
        <v>838</v>
      </c>
    </row>
    <row r="41" spans="1:11" ht="101.25" customHeight="1">
      <c r="A41" s="1">
        <v>2</v>
      </c>
      <c r="B41" s="1" t="s">
        <v>124</v>
      </c>
      <c r="C41" s="307" t="s">
        <v>627</v>
      </c>
      <c r="D41" s="1">
        <v>0.25</v>
      </c>
      <c r="E41" s="1">
        <v>124</v>
      </c>
      <c r="F41" s="1">
        <f>E41*3</f>
        <v>372</v>
      </c>
      <c r="G41" s="350"/>
      <c r="H41" s="1">
        <f t="shared" si="4"/>
        <v>372</v>
      </c>
      <c r="I41" s="1">
        <v>350</v>
      </c>
      <c r="K41" s="31" t="s">
        <v>839</v>
      </c>
    </row>
    <row r="42" spans="1:11" ht="102.75" customHeight="1">
      <c r="A42" s="1">
        <v>3</v>
      </c>
      <c r="B42" s="1" t="s">
        <v>628</v>
      </c>
      <c r="C42" s="307" t="s">
        <v>629</v>
      </c>
      <c r="D42" s="1">
        <v>0.25</v>
      </c>
      <c r="E42" s="1">
        <v>172</v>
      </c>
      <c r="F42" s="1">
        <f>E42*2.5</f>
        <v>430</v>
      </c>
      <c r="G42" s="350"/>
      <c r="H42" s="1">
        <f t="shared" si="4"/>
        <v>430</v>
      </c>
      <c r="I42" s="1">
        <v>400</v>
      </c>
      <c r="K42" s="31" t="s">
        <v>851</v>
      </c>
    </row>
    <row r="43" spans="1:11" ht="71.25">
      <c r="A43" s="1">
        <v>4</v>
      </c>
      <c r="B43" s="1" t="s">
        <v>630</v>
      </c>
      <c r="C43" s="307" t="s">
        <v>631</v>
      </c>
      <c r="D43" s="1">
        <v>0.25</v>
      </c>
      <c r="E43" s="1">
        <v>126</v>
      </c>
      <c r="F43" s="1">
        <f t="shared" si="3"/>
        <v>378</v>
      </c>
      <c r="G43" s="350"/>
      <c r="H43" s="1">
        <f t="shared" si="4"/>
        <v>378</v>
      </c>
      <c r="I43" s="1">
        <v>350</v>
      </c>
      <c r="K43" s="31" t="s">
        <v>840</v>
      </c>
    </row>
    <row r="44" spans="1:11" ht="136.5" customHeight="1">
      <c r="A44" s="1">
        <v>5</v>
      </c>
      <c r="B44" s="307" t="s">
        <v>752</v>
      </c>
      <c r="C44" s="307" t="s">
        <v>632</v>
      </c>
      <c r="D44" s="1">
        <v>0.25</v>
      </c>
      <c r="E44" s="1">
        <v>124</v>
      </c>
      <c r="F44" s="1">
        <f>E44*2.5</f>
        <v>310</v>
      </c>
      <c r="G44" s="350"/>
      <c r="H44" s="1">
        <f t="shared" si="4"/>
        <v>310</v>
      </c>
      <c r="I44" s="1">
        <v>320</v>
      </c>
      <c r="K44" s="31" t="s">
        <v>841</v>
      </c>
    </row>
    <row r="45" spans="1:11" ht="131.25" customHeight="1">
      <c r="A45" s="1">
        <v>6</v>
      </c>
      <c r="B45" s="307" t="s">
        <v>633</v>
      </c>
      <c r="C45" s="307" t="s">
        <v>634</v>
      </c>
      <c r="D45" s="1">
        <v>0.25</v>
      </c>
      <c r="E45" s="1">
        <v>136</v>
      </c>
      <c r="F45" s="1">
        <f>E45*2.5</f>
        <v>340</v>
      </c>
      <c r="G45" s="350"/>
      <c r="H45" s="1">
        <f t="shared" si="4"/>
        <v>340</v>
      </c>
      <c r="I45" s="1">
        <v>350</v>
      </c>
      <c r="K45" s="31" t="s">
        <v>842</v>
      </c>
    </row>
    <row r="46" spans="1:11" ht="131.25" customHeight="1">
      <c r="A46" s="295">
        <v>7</v>
      </c>
      <c r="B46" s="336" t="s">
        <v>168</v>
      </c>
      <c r="C46" s="336"/>
      <c r="D46" s="295"/>
      <c r="E46" s="295"/>
      <c r="F46" s="295"/>
      <c r="G46" s="350"/>
      <c r="H46" s="295"/>
      <c r="I46" s="295">
        <v>350</v>
      </c>
      <c r="J46" t="s">
        <v>751</v>
      </c>
    </row>
    <row r="47" spans="1:11" ht="131.25" customHeight="1">
      <c r="A47" s="1">
        <v>8</v>
      </c>
      <c r="B47" s="307" t="s">
        <v>175</v>
      </c>
      <c r="C47" s="307"/>
      <c r="D47" s="1">
        <v>0.25</v>
      </c>
      <c r="E47" s="1">
        <v>119</v>
      </c>
      <c r="F47" s="1">
        <f>E47*2.5</f>
        <v>297.5</v>
      </c>
      <c r="G47" s="350"/>
      <c r="H47" s="1">
        <f>G47+F47</f>
        <v>297.5</v>
      </c>
      <c r="I47" s="1">
        <v>300</v>
      </c>
      <c r="K47" s="31" t="s">
        <v>852</v>
      </c>
    </row>
    <row r="48" spans="1:11" ht="131.25" customHeight="1">
      <c r="A48" s="1">
        <v>9</v>
      </c>
      <c r="B48" s="307" t="s">
        <v>635</v>
      </c>
      <c r="C48" s="307"/>
      <c r="D48" s="1">
        <v>0.25</v>
      </c>
      <c r="E48" s="1">
        <v>85</v>
      </c>
      <c r="F48" s="1">
        <f>E48*2.5</f>
        <v>212.5</v>
      </c>
      <c r="G48" s="350"/>
      <c r="H48" s="1">
        <f>G48+F48</f>
        <v>212.5</v>
      </c>
      <c r="I48" s="1">
        <v>250</v>
      </c>
      <c r="J48" t="s">
        <v>598</v>
      </c>
      <c r="K48" s="31" t="s">
        <v>853</v>
      </c>
    </row>
    <row r="49" spans="1:11" ht="131.25" customHeight="1">
      <c r="A49" s="322">
        <v>10</v>
      </c>
      <c r="B49" s="323" t="s">
        <v>753</v>
      </c>
      <c r="C49" s="323" t="s">
        <v>754</v>
      </c>
      <c r="D49" s="312">
        <v>0.25</v>
      </c>
      <c r="E49" s="312">
        <v>128</v>
      </c>
      <c r="F49" s="312">
        <f>E49*2.5</f>
        <v>320</v>
      </c>
      <c r="G49" s="350"/>
      <c r="H49" s="312">
        <f>F49+G49</f>
        <v>320</v>
      </c>
      <c r="I49" s="312">
        <v>320</v>
      </c>
      <c r="J49" s="31" t="s">
        <v>598</v>
      </c>
      <c r="K49" s="31" t="s">
        <v>854</v>
      </c>
    </row>
    <row r="50" spans="1:11" ht="131.25" customHeight="1">
      <c r="A50" s="322">
        <v>11</v>
      </c>
      <c r="B50" s="323" t="s">
        <v>755</v>
      </c>
      <c r="C50" s="323" t="s">
        <v>756</v>
      </c>
      <c r="D50" s="312">
        <v>0.25</v>
      </c>
      <c r="E50" s="312">
        <v>154</v>
      </c>
      <c r="F50" s="312">
        <f>E50*2.5</f>
        <v>385</v>
      </c>
      <c r="G50" s="350"/>
      <c r="H50" s="312">
        <f>G50+F50</f>
        <v>385</v>
      </c>
      <c r="I50" s="312">
        <v>350</v>
      </c>
      <c r="J50" s="31" t="s">
        <v>598</v>
      </c>
      <c r="K50" s="31" t="s">
        <v>855</v>
      </c>
    </row>
    <row r="51" spans="1:11" ht="131.25" customHeight="1">
      <c r="A51" s="322">
        <v>12</v>
      </c>
      <c r="B51" s="323" t="s">
        <v>636</v>
      </c>
      <c r="C51" s="323" t="s">
        <v>637</v>
      </c>
      <c r="D51" s="312">
        <v>0.2</v>
      </c>
      <c r="E51" s="312">
        <v>152</v>
      </c>
      <c r="F51" s="312">
        <f>E51*2.5</f>
        <v>380</v>
      </c>
      <c r="G51" s="350"/>
      <c r="H51" s="312">
        <f>G51+F51</f>
        <v>380</v>
      </c>
      <c r="I51" s="312">
        <v>380</v>
      </c>
      <c r="J51" s="31" t="s">
        <v>598</v>
      </c>
      <c r="K51" s="31" t="s">
        <v>856</v>
      </c>
    </row>
    <row r="52" spans="1:11" ht="15.75">
      <c r="A52" s="1"/>
      <c r="B52" s="312" t="s">
        <v>638</v>
      </c>
      <c r="C52" s="312"/>
      <c r="D52" s="1"/>
      <c r="E52" s="1"/>
      <c r="F52" s="1"/>
      <c r="G52" s="350"/>
      <c r="H52" s="1"/>
      <c r="I52" s="1"/>
    </row>
    <row r="53" spans="1:11" ht="139.5" customHeight="1">
      <c r="A53" s="1">
        <v>1</v>
      </c>
      <c r="B53" s="1" t="s">
        <v>639</v>
      </c>
      <c r="C53" s="307" t="s">
        <v>640</v>
      </c>
      <c r="D53" s="1">
        <v>0.43</v>
      </c>
      <c r="E53" s="1">
        <v>250</v>
      </c>
      <c r="F53" s="1">
        <f>E53*2.5</f>
        <v>625</v>
      </c>
      <c r="G53" s="350"/>
      <c r="H53" s="1">
        <f t="shared" ref="H53:H60" si="5">F53+G53</f>
        <v>625</v>
      </c>
      <c r="I53" s="1">
        <v>620</v>
      </c>
      <c r="J53" t="s">
        <v>641</v>
      </c>
      <c r="K53" s="31" t="s">
        <v>843</v>
      </c>
    </row>
    <row r="54" spans="1:11" ht="110.25" customHeight="1">
      <c r="A54" s="1">
        <v>2</v>
      </c>
      <c r="B54" s="324" t="s">
        <v>798</v>
      </c>
      <c r="C54" s="307" t="s">
        <v>759</v>
      </c>
      <c r="D54" s="1">
        <v>0.4</v>
      </c>
      <c r="E54" s="1">
        <v>241</v>
      </c>
      <c r="F54" s="1">
        <f>E54*2.5</f>
        <v>602.5</v>
      </c>
      <c r="G54" s="350"/>
      <c r="H54" s="1">
        <f t="shared" si="5"/>
        <v>602.5</v>
      </c>
      <c r="I54" s="1">
        <v>600</v>
      </c>
      <c r="K54" s="31" t="s">
        <v>844</v>
      </c>
    </row>
    <row r="55" spans="1:11" ht="171" customHeight="1">
      <c r="A55" s="1">
        <v>3</v>
      </c>
      <c r="B55" s="324" t="s">
        <v>201</v>
      </c>
      <c r="C55" s="307" t="s">
        <v>758</v>
      </c>
      <c r="D55" s="1">
        <v>0.4</v>
      </c>
      <c r="E55" s="1">
        <v>104</v>
      </c>
      <c r="F55" s="1">
        <f t="shared" si="3"/>
        <v>312</v>
      </c>
      <c r="G55" s="350"/>
      <c r="H55" s="1">
        <f t="shared" si="5"/>
        <v>312</v>
      </c>
      <c r="I55" s="1">
        <v>400</v>
      </c>
      <c r="K55" s="31" t="s">
        <v>845</v>
      </c>
    </row>
    <row r="56" spans="1:11" ht="161.25" customHeight="1">
      <c r="A56" s="1">
        <v>6</v>
      </c>
      <c r="B56" s="1" t="s">
        <v>221</v>
      </c>
      <c r="C56" s="307" t="s">
        <v>642</v>
      </c>
      <c r="D56" s="1">
        <v>0.35</v>
      </c>
      <c r="E56" s="1">
        <v>101</v>
      </c>
      <c r="F56" s="1">
        <f t="shared" si="3"/>
        <v>303</v>
      </c>
      <c r="G56" s="350"/>
      <c r="H56" s="1">
        <f t="shared" si="5"/>
        <v>303</v>
      </c>
      <c r="I56" s="1">
        <v>300</v>
      </c>
      <c r="K56" s="31" t="s">
        <v>857</v>
      </c>
    </row>
    <row r="57" spans="1:11" ht="138" customHeight="1">
      <c r="A57" s="295">
        <v>7</v>
      </c>
      <c r="B57" s="295" t="s">
        <v>224</v>
      </c>
      <c r="C57" s="336" t="s">
        <v>643</v>
      </c>
      <c r="D57" s="295">
        <v>0.3</v>
      </c>
      <c r="E57" s="295">
        <v>201</v>
      </c>
      <c r="F57" s="295">
        <f t="shared" si="3"/>
        <v>603</v>
      </c>
      <c r="G57" s="350"/>
      <c r="H57" s="295">
        <f t="shared" si="5"/>
        <v>603</v>
      </c>
      <c r="I57" s="295">
        <v>450</v>
      </c>
    </row>
    <row r="58" spans="1:11" ht="113.25" customHeight="1">
      <c r="A58" s="1">
        <v>8</v>
      </c>
      <c r="B58" s="1" t="s">
        <v>644</v>
      </c>
      <c r="C58" s="307" t="s">
        <v>645</v>
      </c>
      <c r="D58" s="1">
        <v>0.3</v>
      </c>
      <c r="E58" s="1">
        <v>125</v>
      </c>
      <c r="F58" s="1">
        <f>E58*2.5</f>
        <v>312.5</v>
      </c>
      <c r="G58" s="350"/>
      <c r="H58" s="1">
        <f t="shared" si="5"/>
        <v>312.5</v>
      </c>
      <c r="I58" s="1">
        <v>300</v>
      </c>
      <c r="K58" s="31" t="s">
        <v>858</v>
      </c>
    </row>
    <row r="59" spans="1:11" ht="113.25" customHeight="1">
      <c r="A59" s="312"/>
      <c r="B59" s="312" t="s">
        <v>646</v>
      </c>
      <c r="C59" s="306" t="s">
        <v>760</v>
      </c>
      <c r="D59" s="312">
        <v>0.3</v>
      </c>
      <c r="E59" s="312">
        <v>153</v>
      </c>
      <c r="F59" s="312">
        <f>E59*2.5</f>
        <v>382.5</v>
      </c>
      <c r="G59" s="350"/>
      <c r="H59" s="312">
        <f t="shared" si="5"/>
        <v>382.5</v>
      </c>
      <c r="I59" s="312">
        <v>350</v>
      </c>
      <c r="K59" s="31" t="s">
        <v>859</v>
      </c>
    </row>
    <row r="60" spans="1:11" ht="113.25" customHeight="1">
      <c r="A60" s="312"/>
      <c r="B60" s="312" t="s">
        <v>647</v>
      </c>
      <c r="C60" s="306" t="s">
        <v>761</v>
      </c>
      <c r="D60" s="312">
        <v>0.3</v>
      </c>
      <c r="E60" s="312">
        <v>185</v>
      </c>
      <c r="F60" s="312">
        <f>E60*2.5</f>
        <v>462.5</v>
      </c>
      <c r="G60" s="350"/>
      <c r="H60" s="312">
        <f t="shared" si="5"/>
        <v>462.5</v>
      </c>
      <c r="I60" s="312">
        <v>400</v>
      </c>
      <c r="K60" s="31" t="s">
        <v>860</v>
      </c>
    </row>
    <row r="61" spans="1:11" ht="113.25" customHeight="1">
      <c r="A61" s="312"/>
      <c r="B61" s="312" t="s">
        <v>648</v>
      </c>
      <c r="C61" s="306" t="s">
        <v>762</v>
      </c>
      <c r="D61" s="312">
        <v>0.3</v>
      </c>
      <c r="E61" s="312">
        <v>201</v>
      </c>
      <c r="F61" s="312">
        <f>E61*2.5</f>
        <v>502.5</v>
      </c>
      <c r="G61" s="350"/>
      <c r="H61" s="312">
        <f>G61+F61</f>
        <v>502.5</v>
      </c>
      <c r="I61" s="312">
        <v>450</v>
      </c>
      <c r="K61" s="31" t="s">
        <v>861</v>
      </c>
    </row>
    <row r="62" spans="1:11" ht="15.75">
      <c r="A62" s="1"/>
      <c r="B62" s="312" t="s">
        <v>799</v>
      </c>
      <c r="C62" s="312"/>
      <c r="D62" s="1"/>
      <c r="E62" s="1"/>
      <c r="F62" s="1"/>
      <c r="G62" s="350"/>
      <c r="H62" s="1"/>
      <c r="I62" s="1"/>
    </row>
    <row r="63" spans="1:11" ht="174" customHeight="1">
      <c r="A63" s="1">
        <v>1</v>
      </c>
      <c r="B63" s="1" t="s">
        <v>649</v>
      </c>
      <c r="C63" s="307" t="s">
        <v>650</v>
      </c>
      <c r="D63" s="1">
        <v>0.5</v>
      </c>
      <c r="E63" s="1">
        <v>169</v>
      </c>
      <c r="F63" s="1">
        <f t="shared" si="3"/>
        <v>507</v>
      </c>
      <c r="G63" s="350"/>
      <c r="H63" s="1">
        <f t="shared" ref="H63:H80" si="6">F63+G63</f>
        <v>507</v>
      </c>
      <c r="I63" s="1">
        <v>500</v>
      </c>
      <c r="K63" s="31" t="s">
        <v>807</v>
      </c>
    </row>
    <row r="64" spans="1:11" ht="138" customHeight="1">
      <c r="A64" s="1">
        <v>2</v>
      </c>
      <c r="B64" s="1" t="s">
        <v>651</v>
      </c>
      <c r="C64" s="307" t="s">
        <v>652</v>
      </c>
      <c r="D64" s="1">
        <v>0.5</v>
      </c>
      <c r="E64" s="1">
        <v>183</v>
      </c>
      <c r="F64" s="1">
        <f t="shared" si="3"/>
        <v>549</v>
      </c>
      <c r="G64" s="350"/>
      <c r="H64" s="1">
        <f t="shared" si="6"/>
        <v>549</v>
      </c>
      <c r="I64" s="1">
        <v>550</v>
      </c>
      <c r="K64" s="31" t="s">
        <v>808</v>
      </c>
    </row>
    <row r="65" spans="1:11" ht="117" customHeight="1">
      <c r="A65" s="1">
        <v>3</v>
      </c>
      <c r="B65" s="1" t="s">
        <v>653</v>
      </c>
      <c r="C65" s="307" t="s">
        <v>654</v>
      </c>
      <c r="D65" s="1">
        <v>0.5</v>
      </c>
      <c r="E65" s="1">
        <v>121</v>
      </c>
      <c r="F65" s="1">
        <f t="shared" si="3"/>
        <v>363</v>
      </c>
      <c r="G65" s="350"/>
      <c r="H65" s="1">
        <f t="shared" si="6"/>
        <v>363</v>
      </c>
      <c r="I65" s="1">
        <v>400</v>
      </c>
      <c r="K65" s="31" t="s">
        <v>811</v>
      </c>
    </row>
    <row r="66" spans="1:11" ht="144.75" customHeight="1">
      <c r="A66" s="1">
        <v>4</v>
      </c>
      <c r="B66" s="1" t="s">
        <v>244</v>
      </c>
      <c r="C66" s="307" t="s">
        <v>655</v>
      </c>
      <c r="D66" s="1">
        <v>0.5</v>
      </c>
      <c r="E66" s="1">
        <v>257</v>
      </c>
      <c r="F66" s="1">
        <f t="shared" si="3"/>
        <v>771</v>
      </c>
      <c r="G66" s="350"/>
      <c r="H66" s="1">
        <f t="shared" si="6"/>
        <v>771</v>
      </c>
      <c r="I66" s="1">
        <v>750</v>
      </c>
      <c r="K66" s="31" t="s">
        <v>814</v>
      </c>
    </row>
    <row r="67" spans="1:11" ht="81" customHeight="1">
      <c r="A67" s="1">
        <v>5</v>
      </c>
      <c r="B67" s="1" t="s">
        <v>246</v>
      </c>
      <c r="C67" s="307" t="s">
        <v>656</v>
      </c>
      <c r="D67" s="1">
        <v>0.5</v>
      </c>
      <c r="E67" s="1">
        <v>169</v>
      </c>
      <c r="F67" s="1">
        <f t="shared" si="3"/>
        <v>507</v>
      </c>
      <c r="G67" s="350"/>
      <c r="H67" s="1">
        <f t="shared" si="6"/>
        <v>507</v>
      </c>
      <c r="I67" s="1">
        <v>500</v>
      </c>
      <c r="K67" s="31" t="s">
        <v>862</v>
      </c>
    </row>
    <row r="68" spans="1:11" ht="150" customHeight="1">
      <c r="A68" s="1">
        <v>6</v>
      </c>
      <c r="B68" s="1" t="s">
        <v>657</v>
      </c>
      <c r="C68" s="307" t="s">
        <v>658</v>
      </c>
      <c r="D68" s="1">
        <v>0.5</v>
      </c>
      <c r="E68" s="1">
        <v>216</v>
      </c>
      <c r="F68" s="1">
        <f t="shared" si="3"/>
        <v>648</v>
      </c>
      <c r="G68" s="350"/>
      <c r="H68" s="1">
        <f t="shared" si="6"/>
        <v>648</v>
      </c>
      <c r="I68" s="1">
        <v>600</v>
      </c>
      <c r="K68" s="31" t="s">
        <v>820</v>
      </c>
    </row>
    <row r="69" spans="1:11" ht="150" customHeight="1">
      <c r="A69" s="312">
        <v>7</v>
      </c>
      <c r="B69" s="312" t="s">
        <v>659</v>
      </c>
      <c r="C69" s="306"/>
      <c r="D69" s="312">
        <v>0.5</v>
      </c>
      <c r="E69" s="312">
        <v>185</v>
      </c>
      <c r="F69" s="312">
        <f t="shared" si="3"/>
        <v>555</v>
      </c>
      <c r="G69" s="350"/>
      <c r="H69" s="312">
        <f t="shared" si="6"/>
        <v>555</v>
      </c>
      <c r="I69" s="312">
        <v>550</v>
      </c>
      <c r="K69" s="31" t="s">
        <v>863</v>
      </c>
    </row>
    <row r="70" spans="1:11" ht="150" customHeight="1">
      <c r="A70" s="312"/>
      <c r="B70" s="312" t="s">
        <v>660</v>
      </c>
      <c r="C70" s="306"/>
      <c r="D70" s="312">
        <v>0.5</v>
      </c>
      <c r="E70" s="312">
        <v>234</v>
      </c>
      <c r="F70" s="312">
        <f t="shared" si="3"/>
        <v>702</v>
      </c>
      <c r="G70" s="350"/>
      <c r="H70" s="312">
        <f t="shared" si="6"/>
        <v>702</v>
      </c>
      <c r="I70" s="312">
        <v>700</v>
      </c>
      <c r="K70" s="31" t="s">
        <v>864</v>
      </c>
    </row>
    <row r="71" spans="1:11" ht="150" customHeight="1">
      <c r="A71" s="312"/>
      <c r="B71" s="312" t="s">
        <v>661</v>
      </c>
      <c r="C71" s="306"/>
      <c r="D71" s="312">
        <v>0.5</v>
      </c>
      <c r="E71" s="312">
        <v>195</v>
      </c>
      <c r="F71" s="312">
        <f t="shared" si="3"/>
        <v>585</v>
      </c>
      <c r="G71" s="350"/>
      <c r="H71" s="312">
        <f t="shared" si="6"/>
        <v>585</v>
      </c>
      <c r="I71" s="312">
        <v>550</v>
      </c>
      <c r="K71" s="31" t="s">
        <v>865</v>
      </c>
    </row>
    <row r="72" spans="1:11" ht="28.5" customHeight="1">
      <c r="A72" s="1"/>
      <c r="B72" s="312" t="s">
        <v>662</v>
      </c>
      <c r="C72" s="325"/>
      <c r="D72" s="325"/>
      <c r="E72" s="325"/>
      <c r="F72" s="1">
        <f t="shared" si="3"/>
        <v>0</v>
      </c>
      <c r="G72" s="350"/>
      <c r="H72" s="1">
        <f t="shared" si="6"/>
        <v>0</v>
      </c>
      <c r="I72" s="1"/>
    </row>
    <row r="73" spans="1:11" ht="174" customHeight="1">
      <c r="A73" s="295">
        <v>1</v>
      </c>
      <c r="B73" s="336" t="s">
        <v>663</v>
      </c>
      <c r="C73" s="336" t="s">
        <v>664</v>
      </c>
      <c r="D73" s="342">
        <v>350</v>
      </c>
      <c r="E73" s="342">
        <v>383</v>
      </c>
      <c r="F73" s="295">
        <f t="shared" si="3"/>
        <v>1149</v>
      </c>
      <c r="G73" s="350"/>
      <c r="H73" s="295">
        <f t="shared" si="6"/>
        <v>1149</v>
      </c>
      <c r="I73" s="295">
        <v>830</v>
      </c>
      <c r="J73" t="s">
        <v>739</v>
      </c>
    </row>
    <row r="74" spans="1:11" ht="145.5" customHeight="1">
      <c r="A74" s="1">
        <v>2</v>
      </c>
      <c r="B74" s="307" t="s">
        <v>796</v>
      </c>
      <c r="C74" s="327" t="s">
        <v>797</v>
      </c>
      <c r="D74" s="326">
        <v>350</v>
      </c>
      <c r="E74" s="326">
        <v>207</v>
      </c>
      <c r="F74" s="1">
        <f t="shared" si="3"/>
        <v>621</v>
      </c>
      <c r="G74" s="350"/>
      <c r="H74" s="1">
        <f t="shared" si="6"/>
        <v>621</v>
      </c>
      <c r="I74" s="1">
        <v>600</v>
      </c>
      <c r="K74" s="31" t="s">
        <v>866</v>
      </c>
    </row>
    <row r="75" spans="1:11" ht="93.75" customHeight="1">
      <c r="A75" s="295">
        <v>3</v>
      </c>
      <c r="B75" s="336" t="s">
        <v>665</v>
      </c>
      <c r="C75" s="336" t="s">
        <v>666</v>
      </c>
      <c r="D75" s="342">
        <v>350</v>
      </c>
      <c r="E75" s="342">
        <v>254</v>
      </c>
      <c r="F75" s="295">
        <f t="shared" si="3"/>
        <v>762</v>
      </c>
      <c r="G75" s="351"/>
      <c r="H75" s="295">
        <f t="shared" si="6"/>
        <v>762</v>
      </c>
      <c r="I75" s="295">
        <v>700</v>
      </c>
      <c r="J75" s="293"/>
      <c r="K75" s="31" t="s">
        <v>751</v>
      </c>
    </row>
    <row r="76" spans="1:11" ht="101.25" customHeight="1">
      <c r="A76" s="1">
        <v>4</v>
      </c>
      <c r="B76" s="307" t="s">
        <v>667</v>
      </c>
      <c r="C76" s="327" t="s">
        <v>766</v>
      </c>
      <c r="D76" s="326">
        <v>350</v>
      </c>
      <c r="E76" s="326">
        <v>150</v>
      </c>
      <c r="F76" s="1">
        <f t="shared" si="3"/>
        <v>450</v>
      </c>
      <c r="G76" s="350"/>
      <c r="H76" s="1">
        <f t="shared" si="6"/>
        <v>450</v>
      </c>
      <c r="I76" s="1">
        <v>450</v>
      </c>
      <c r="K76" s="31" t="s">
        <v>815</v>
      </c>
    </row>
    <row r="77" spans="1:11" ht="15.75">
      <c r="A77" s="1">
        <v>5</v>
      </c>
      <c r="B77" s="327" t="s">
        <v>668</v>
      </c>
      <c r="C77" s="1"/>
      <c r="D77" s="343">
        <v>350</v>
      </c>
      <c r="E77" s="343">
        <v>145</v>
      </c>
      <c r="F77" s="1">
        <f t="shared" si="3"/>
        <v>435</v>
      </c>
      <c r="G77" s="350"/>
      <c r="H77" s="1">
        <f t="shared" si="6"/>
        <v>435</v>
      </c>
      <c r="I77" s="1">
        <v>430</v>
      </c>
      <c r="K77" s="31" t="s">
        <v>817</v>
      </c>
    </row>
    <row r="78" spans="1:11" ht="15.75">
      <c r="A78" s="312">
        <v>6</v>
      </c>
      <c r="B78" s="312" t="s">
        <v>765</v>
      </c>
      <c r="C78" s="312"/>
      <c r="D78" s="312">
        <v>350</v>
      </c>
      <c r="E78" s="312">
        <v>135</v>
      </c>
      <c r="F78" s="312">
        <f t="shared" si="3"/>
        <v>405</v>
      </c>
      <c r="G78" s="350"/>
      <c r="H78" s="312">
        <f t="shared" si="6"/>
        <v>405</v>
      </c>
      <c r="I78" s="312">
        <v>400</v>
      </c>
      <c r="J78" s="31" t="s">
        <v>598</v>
      </c>
      <c r="K78" s="31" t="s">
        <v>869</v>
      </c>
    </row>
    <row r="79" spans="1:11" ht="15.75">
      <c r="A79" s="312">
        <v>7</v>
      </c>
      <c r="B79" s="312" t="s">
        <v>669</v>
      </c>
      <c r="C79" s="312"/>
      <c r="D79" s="312">
        <v>350</v>
      </c>
      <c r="E79" s="312">
        <v>177</v>
      </c>
      <c r="F79" s="312">
        <f>E79*2.5</f>
        <v>442.5</v>
      </c>
      <c r="G79" s="350"/>
      <c r="H79" s="312">
        <f t="shared" si="6"/>
        <v>442.5</v>
      </c>
      <c r="I79" s="312">
        <v>450</v>
      </c>
      <c r="J79" s="31" t="s">
        <v>598</v>
      </c>
      <c r="K79" s="31" t="s">
        <v>867</v>
      </c>
    </row>
    <row r="80" spans="1:11" ht="15.75">
      <c r="A80" s="312">
        <v>8</v>
      </c>
      <c r="B80" s="312" t="s">
        <v>670</v>
      </c>
      <c r="C80" s="312"/>
      <c r="D80" s="312">
        <v>350</v>
      </c>
      <c r="E80" s="312">
        <v>156</v>
      </c>
      <c r="F80" s="312">
        <f>E80*2</f>
        <v>312</v>
      </c>
      <c r="G80" s="350"/>
      <c r="H80" s="312">
        <f t="shared" si="6"/>
        <v>312</v>
      </c>
      <c r="I80" s="312">
        <v>320</v>
      </c>
      <c r="J80" s="31"/>
      <c r="K80" s="31" t="s">
        <v>868</v>
      </c>
    </row>
    <row r="81" spans="1:11" ht="15.75">
      <c r="A81" s="312">
        <v>9</v>
      </c>
      <c r="B81" s="312" t="s">
        <v>915</v>
      </c>
      <c r="C81" s="312" t="s">
        <v>916</v>
      </c>
      <c r="D81" s="312">
        <v>350</v>
      </c>
      <c r="E81" s="312">
        <v>110</v>
      </c>
      <c r="F81" s="312">
        <f>E81*3</f>
        <v>330</v>
      </c>
      <c r="G81" s="350"/>
      <c r="H81" s="312"/>
      <c r="I81" s="312">
        <v>350</v>
      </c>
      <c r="J81" s="31"/>
      <c r="K81" s="31" t="s">
        <v>917</v>
      </c>
    </row>
    <row r="82" spans="1:11" ht="15.75">
      <c r="A82" s="312" t="s">
        <v>918</v>
      </c>
      <c r="B82" s="312"/>
      <c r="C82" s="312"/>
      <c r="D82" s="312">
        <v>350</v>
      </c>
      <c r="E82" s="312">
        <v>135</v>
      </c>
      <c r="F82" s="312">
        <f>E82*3</f>
        <v>405</v>
      </c>
      <c r="G82" s="350"/>
      <c r="H82" s="312"/>
      <c r="I82" s="312">
        <v>400</v>
      </c>
      <c r="J82" s="31"/>
      <c r="K82" s="31" t="s">
        <v>919</v>
      </c>
    </row>
    <row r="83" spans="1:11" ht="15.75">
      <c r="A83" s="312">
        <v>11</v>
      </c>
      <c r="B83" s="312" t="s">
        <v>920</v>
      </c>
      <c r="C83" s="312"/>
      <c r="D83" s="312">
        <v>350</v>
      </c>
      <c r="E83" s="312">
        <v>85</v>
      </c>
      <c r="F83" s="312"/>
      <c r="G83" s="350"/>
      <c r="H83" s="312"/>
      <c r="I83" s="312">
        <v>300</v>
      </c>
      <c r="J83" s="31"/>
      <c r="K83" s="31" t="s">
        <v>921</v>
      </c>
    </row>
    <row r="84" spans="1:11" ht="15.75">
      <c r="A84" s="312">
        <v>12</v>
      </c>
      <c r="B84" s="312" t="s">
        <v>922</v>
      </c>
      <c r="C84" s="312"/>
      <c r="D84" s="312">
        <v>350</v>
      </c>
      <c r="E84" s="312">
        <v>170</v>
      </c>
      <c r="F84" s="312"/>
      <c r="G84" s="350"/>
      <c r="H84" s="312"/>
      <c r="I84" s="312">
        <v>500</v>
      </c>
      <c r="J84" s="31"/>
      <c r="K84" s="31" t="s">
        <v>923</v>
      </c>
    </row>
    <row r="85" spans="1:11" ht="15.75">
      <c r="A85" s="312"/>
      <c r="B85" s="312"/>
      <c r="C85" s="312"/>
      <c r="D85" s="312"/>
      <c r="E85" s="312"/>
      <c r="F85" s="312"/>
      <c r="G85" s="350"/>
      <c r="H85" s="312"/>
      <c r="I85" s="312"/>
      <c r="J85" s="31"/>
    </row>
    <row r="86" spans="1:11" ht="26.25" customHeight="1">
      <c r="A86" s="1"/>
      <c r="B86" s="312" t="s">
        <v>671</v>
      </c>
      <c r="C86" s="312"/>
      <c r="D86" s="1"/>
      <c r="E86" s="1"/>
      <c r="F86" s="1"/>
      <c r="G86" s="350"/>
      <c r="H86" s="1"/>
      <c r="I86" s="1"/>
    </row>
    <row r="87" spans="1:11" ht="135.75" customHeight="1">
      <c r="A87" s="1">
        <v>1</v>
      </c>
      <c r="B87" s="1" t="s">
        <v>672</v>
      </c>
      <c r="C87" s="307" t="s">
        <v>769</v>
      </c>
      <c r="D87" s="1">
        <v>0.35</v>
      </c>
      <c r="E87" s="1">
        <v>262</v>
      </c>
      <c r="F87" s="1">
        <f>E87*2.5</f>
        <v>655</v>
      </c>
      <c r="G87" s="350"/>
      <c r="H87" s="1">
        <f t="shared" ref="H87:H98" si="7">F87+G87</f>
        <v>655</v>
      </c>
      <c r="I87" s="1">
        <v>650</v>
      </c>
      <c r="K87" s="31" t="s">
        <v>870</v>
      </c>
    </row>
    <row r="88" spans="1:11" ht="28.5">
      <c r="A88" s="1">
        <v>2</v>
      </c>
      <c r="B88" s="1" t="s">
        <v>673</v>
      </c>
      <c r="C88" s="327" t="s">
        <v>674</v>
      </c>
      <c r="D88" s="1">
        <v>0.25</v>
      </c>
      <c r="E88" s="1">
        <v>101</v>
      </c>
      <c r="F88" s="1">
        <f t="shared" si="3"/>
        <v>303</v>
      </c>
      <c r="G88" s="350"/>
      <c r="H88" s="1">
        <f t="shared" si="7"/>
        <v>303</v>
      </c>
      <c r="I88" s="1">
        <v>300</v>
      </c>
      <c r="K88" s="31" t="s">
        <v>810</v>
      </c>
    </row>
    <row r="89" spans="1:11" ht="15.75">
      <c r="A89" s="1">
        <v>3</v>
      </c>
      <c r="B89" s="1" t="s">
        <v>675</v>
      </c>
      <c r="C89" s="1" t="s">
        <v>676</v>
      </c>
      <c r="D89" s="1">
        <v>0.25</v>
      </c>
      <c r="E89" s="325">
        <v>111</v>
      </c>
      <c r="F89" s="1">
        <f t="shared" si="3"/>
        <v>333</v>
      </c>
      <c r="G89" s="350"/>
      <c r="H89" s="1">
        <f t="shared" si="7"/>
        <v>333</v>
      </c>
      <c r="I89" s="1">
        <v>330</v>
      </c>
      <c r="K89" s="31" t="s">
        <v>813</v>
      </c>
    </row>
    <row r="90" spans="1:11" ht="15.75">
      <c r="A90" s="1">
        <v>4</v>
      </c>
      <c r="B90" s="324" t="s">
        <v>269</v>
      </c>
      <c r="C90" s="324"/>
      <c r="D90" s="1">
        <v>0.25</v>
      </c>
      <c r="E90" s="1">
        <v>68</v>
      </c>
      <c r="F90" s="1">
        <f t="shared" si="3"/>
        <v>204</v>
      </c>
      <c r="G90" s="350"/>
      <c r="H90" s="1">
        <f t="shared" si="7"/>
        <v>204</v>
      </c>
      <c r="I90" s="1">
        <v>250</v>
      </c>
      <c r="K90" s="31" t="s">
        <v>819</v>
      </c>
    </row>
    <row r="91" spans="1:11" ht="28.5">
      <c r="A91" s="1">
        <v>5</v>
      </c>
      <c r="B91" s="324" t="s">
        <v>677</v>
      </c>
      <c r="C91" s="327" t="s">
        <v>678</v>
      </c>
      <c r="D91" s="1">
        <v>0.25</v>
      </c>
      <c r="E91" s="1">
        <v>26</v>
      </c>
      <c r="F91" s="1">
        <f t="shared" si="3"/>
        <v>78</v>
      </c>
      <c r="G91" s="350"/>
      <c r="H91" s="1">
        <f t="shared" si="7"/>
        <v>78</v>
      </c>
      <c r="I91" s="1">
        <v>250</v>
      </c>
      <c r="J91" t="s">
        <v>598</v>
      </c>
      <c r="K91" s="31" t="s">
        <v>871</v>
      </c>
    </row>
    <row r="92" spans="1:11" ht="15.75">
      <c r="A92" s="1">
        <v>6</v>
      </c>
      <c r="B92" s="324" t="s">
        <v>679</v>
      </c>
      <c r="C92" s="324"/>
      <c r="D92" s="1">
        <v>0.25</v>
      </c>
      <c r="E92" s="1">
        <v>36</v>
      </c>
      <c r="F92" s="1">
        <f t="shared" si="3"/>
        <v>108</v>
      </c>
      <c r="G92" s="350"/>
      <c r="H92" s="1">
        <f t="shared" si="7"/>
        <v>108</v>
      </c>
      <c r="I92" s="1">
        <v>200</v>
      </c>
      <c r="J92" t="s">
        <v>598</v>
      </c>
      <c r="K92" s="31" t="s">
        <v>872</v>
      </c>
    </row>
    <row r="93" spans="1:11" ht="15.75">
      <c r="A93" s="312">
        <v>7</v>
      </c>
      <c r="B93" s="312" t="s">
        <v>775</v>
      </c>
      <c r="C93" s="312"/>
      <c r="D93" s="312">
        <v>0.25</v>
      </c>
      <c r="E93" s="312">
        <v>140</v>
      </c>
      <c r="F93" s="312">
        <f t="shared" si="3"/>
        <v>420</v>
      </c>
      <c r="G93" s="350"/>
      <c r="H93" s="312">
        <f t="shared" si="7"/>
        <v>420</v>
      </c>
      <c r="I93" s="312">
        <v>400</v>
      </c>
      <c r="K93" s="31" t="s">
        <v>873</v>
      </c>
    </row>
    <row r="94" spans="1:11" ht="15.75">
      <c r="A94" s="312">
        <v>8</v>
      </c>
      <c r="B94" s="312" t="s">
        <v>680</v>
      </c>
      <c r="C94" s="312"/>
      <c r="D94" s="312">
        <v>0.25</v>
      </c>
      <c r="E94" s="312">
        <v>45</v>
      </c>
      <c r="F94" s="312">
        <f t="shared" si="3"/>
        <v>135</v>
      </c>
      <c r="G94" s="350"/>
      <c r="H94" s="312">
        <f t="shared" si="7"/>
        <v>135</v>
      </c>
      <c r="I94" s="312">
        <v>200</v>
      </c>
      <c r="J94" t="s">
        <v>598</v>
      </c>
      <c r="K94" s="31" t="s">
        <v>874</v>
      </c>
    </row>
    <row r="95" spans="1:11" ht="15.75">
      <c r="A95" s="1">
        <v>9</v>
      </c>
      <c r="B95" s="324" t="s">
        <v>770</v>
      </c>
      <c r="C95" s="324"/>
      <c r="D95" s="1">
        <v>0.25</v>
      </c>
      <c r="E95" s="1">
        <v>100</v>
      </c>
      <c r="F95" s="1">
        <f t="shared" si="3"/>
        <v>300</v>
      </c>
      <c r="G95" s="350"/>
      <c r="H95" s="1">
        <f t="shared" si="7"/>
        <v>300</v>
      </c>
      <c r="I95" s="1">
        <v>300</v>
      </c>
      <c r="K95" s="31" t="s">
        <v>875</v>
      </c>
    </row>
    <row r="96" spans="1:11" ht="15.75">
      <c r="A96" s="1">
        <v>10</v>
      </c>
      <c r="B96" s="324" t="s">
        <v>774</v>
      </c>
      <c r="C96" s="324"/>
      <c r="D96" s="1">
        <v>0.25</v>
      </c>
      <c r="E96" s="1">
        <v>100</v>
      </c>
      <c r="F96" s="1">
        <f t="shared" si="3"/>
        <v>300</v>
      </c>
      <c r="G96" s="350"/>
      <c r="H96" s="1">
        <f t="shared" si="7"/>
        <v>300</v>
      </c>
      <c r="I96" s="1">
        <v>300</v>
      </c>
      <c r="K96" s="31" t="s">
        <v>876</v>
      </c>
    </row>
    <row r="97" spans="1:11" ht="15.75">
      <c r="A97" s="1">
        <v>11</v>
      </c>
      <c r="B97" s="324" t="s">
        <v>772</v>
      </c>
      <c r="C97" s="324"/>
      <c r="D97" s="1">
        <v>0.25</v>
      </c>
      <c r="E97" s="1">
        <v>95</v>
      </c>
      <c r="F97" s="1">
        <f t="shared" si="3"/>
        <v>285</v>
      </c>
      <c r="G97" s="350"/>
      <c r="H97" s="1">
        <f t="shared" si="7"/>
        <v>285</v>
      </c>
      <c r="I97" s="1">
        <v>250</v>
      </c>
      <c r="K97" s="31" t="s">
        <v>824</v>
      </c>
    </row>
    <row r="98" spans="1:11" ht="15.75">
      <c r="A98" s="1">
        <v>12</v>
      </c>
      <c r="B98" s="324" t="s">
        <v>773</v>
      </c>
      <c r="C98" s="324"/>
      <c r="D98" s="1">
        <v>0.25</v>
      </c>
      <c r="E98" s="1">
        <v>98</v>
      </c>
      <c r="F98" s="1">
        <f t="shared" si="3"/>
        <v>294</v>
      </c>
      <c r="G98" s="350"/>
      <c r="H98" s="1">
        <f t="shared" si="7"/>
        <v>294</v>
      </c>
      <c r="I98" s="1">
        <v>250</v>
      </c>
      <c r="K98" s="31" t="s">
        <v>877</v>
      </c>
    </row>
    <row r="99" spans="1:11" ht="28.5" customHeight="1">
      <c r="A99" s="1"/>
      <c r="B99" s="312" t="s">
        <v>681</v>
      </c>
      <c r="C99" s="312"/>
      <c r="D99" s="1"/>
      <c r="E99" s="1"/>
      <c r="F99" s="1"/>
      <c r="G99" s="350"/>
      <c r="H99" s="1"/>
      <c r="I99" s="1"/>
    </row>
    <row r="100" spans="1:11" ht="28.5" customHeight="1">
      <c r="A100" s="1"/>
      <c r="B100" s="345" t="s">
        <v>776</v>
      </c>
      <c r="C100" s="344"/>
      <c r="D100" s="1"/>
      <c r="E100" s="1"/>
      <c r="F100" s="1"/>
      <c r="G100" s="350"/>
      <c r="H100" s="1"/>
      <c r="I100" s="1"/>
    </row>
    <row r="101" spans="1:11" ht="68.25" customHeight="1">
      <c r="A101" s="1" t="s">
        <v>878</v>
      </c>
      <c r="B101" s="324" t="s">
        <v>682</v>
      </c>
      <c r="C101" s="327" t="s">
        <v>683</v>
      </c>
      <c r="D101" s="1">
        <v>0.35</v>
      </c>
      <c r="E101" s="1">
        <v>271</v>
      </c>
      <c r="F101" s="1">
        <f>E101*2.5</f>
        <v>677.5</v>
      </c>
      <c r="G101" s="350"/>
      <c r="H101" s="1">
        <f>F101+G101</f>
        <v>677.5</v>
      </c>
      <c r="I101" s="1">
        <v>650</v>
      </c>
      <c r="J101" t="s">
        <v>598</v>
      </c>
      <c r="K101" s="31" t="s">
        <v>879</v>
      </c>
    </row>
    <row r="102" spans="1:11" ht="51" customHeight="1">
      <c r="A102" s="1">
        <v>2</v>
      </c>
      <c r="B102" s="324" t="s">
        <v>791</v>
      </c>
      <c r="C102" s="307" t="s">
        <v>792</v>
      </c>
      <c r="D102" s="1">
        <v>0.35</v>
      </c>
      <c r="E102" s="1">
        <v>470</v>
      </c>
      <c r="F102" s="1">
        <f>E102*2.5</f>
        <v>1175</v>
      </c>
      <c r="G102" s="350"/>
      <c r="H102" s="1">
        <f>F102+G102</f>
        <v>1175</v>
      </c>
      <c r="I102" s="1">
        <v>1100</v>
      </c>
      <c r="J102" t="s">
        <v>598</v>
      </c>
      <c r="K102" s="31" t="s">
        <v>880</v>
      </c>
    </row>
    <row r="103" spans="1:11" ht="51" customHeight="1">
      <c r="A103" s="1">
        <v>3</v>
      </c>
      <c r="B103" s="306" t="s">
        <v>694</v>
      </c>
      <c r="C103" s="307" t="s">
        <v>793</v>
      </c>
      <c r="D103" s="1">
        <v>0.35</v>
      </c>
      <c r="E103" s="1">
        <v>185</v>
      </c>
      <c r="F103" s="1">
        <f>E103*3</f>
        <v>555</v>
      </c>
      <c r="G103" s="350"/>
      <c r="H103" s="1">
        <f>F103+G103</f>
        <v>555</v>
      </c>
      <c r="I103" s="1">
        <v>550</v>
      </c>
      <c r="K103" s="31" t="s">
        <v>881</v>
      </c>
    </row>
    <row r="104" spans="1:11" ht="51" customHeight="1">
      <c r="A104" s="1">
        <v>4</v>
      </c>
      <c r="B104" s="308" t="s">
        <v>688</v>
      </c>
      <c r="C104" s="308" t="s">
        <v>689</v>
      </c>
      <c r="D104" s="328">
        <v>0.35</v>
      </c>
      <c r="E104" s="328">
        <v>286</v>
      </c>
      <c r="F104" s="328">
        <f>E104*3</f>
        <v>858</v>
      </c>
      <c r="G104" s="350"/>
      <c r="H104" s="328">
        <f>F104+G104</f>
        <v>858</v>
      </c>
      <c r="I104" s="328">
        <v>800</v>
      </c>
      <c r="J104" s="31" t="s">
        <v>598</v>
      </c>
      <c r="K104" s="31" t="s">
        <v>882</v>
      </c>
    </row>
    <row r="105" spans="1:11" ht="51" customHeight="1">
      <c r="A105" s="1"/>
      <c r="B105" s="346" t="s">
        <v>785</v>
      </c>
      <c r="C105" s="307"/>
      <c r="D105" s="1"/>
      <c r="E105" s="1"/>
      <c r="F105" s="1"/>
      <c r="G105" s="350"/>
      <c r="H105" s="1"/>
      <c r="I105" s="1"/>
    </row>
    <row r="106" spans="1:11" ht="50.25" customHeight="1">
      <c r="A106" s="1">
        <v>1</v>
      </c>
      <c r="B106" s="324" t="s">
        <v>777</v>
      </c>
      <c r="C106" s="307" t="s">
        <v>778</v>
      </c>
      <c r="D106" s="1">
        <v>0.3</v>
      </c>
      <c r="E106" s="1">
        <v>477</v>
      </c>
      <c r="F106" s="1">
        <f t="shared" si="3"/>
        <v>1431</v>
      </c>
      <c r="G106" s="350"/>
      <c r="H106" s="1">
        <f t="shared" ref="H106:H121" si="8">F106+G106</f>
        <v>1431</v>
      </c>
      <c r="I106" s="1">
        <v>1400</v>
      </c>
      <c r="K106" s="31" t="s">
        <v>883</v>
      </c>
    </row>
    <row r="107" spans="1:11" ht="57">
      <c r="A107" s="1">
        <v>2</v>
      </c>
      <c r="B107" s="324" t="s">
        <v>779</v>
      </c>
      <c r="C107" s="307" t="s">
        <v>684</v>
      </c>
      <c r="D107" s="1">
        <v>0.4</v>
      </c>
      <c r="E107" s="1">
        <v>525</v>
      </c>
      <c r="F107" s="1">
        <f t="shared" si="3"/>
        <v>1575</v>
      </c>
      <c r="G107" s="350"/>
      <c r="H107" s="1">
        <f t="shared" si="8"/>
        <v>1575</v>
      </c>
      <c r="I107" s="1">
        <v>1500</v>
      </c>
      <c r="K107" s="31" t="s">
        <v>884</v>
      </c>
    </row>
    <row r="108" spans="1:11" ht="71.25">
      <c r="A108" s="1">
        <v>3</v>
      </c>
      <c r="B108" s="324" t="s">
        <v>685</v>
      </c>
      <c r="C108" s="307" t="s">
        <v>780</v>
      </c>
      <c r="D108" s="1">
        <v>0.35</v>
      </c>
      <c r="E108" s="1">
        <v>481</v>
      </c>
      <c r="F108" s="1">
        <f>E108*2.5</f>
        <v>1202.5</v>
      </c>
      <c r="G108" s="350"/>
      <c r="H108" s="1">
        <f t="shared" si="8"/>
        <v>1202.5</v>
      </c>
      <c r="I108" s="1">
        <v>1200</v>
      </c>
      <c r="K108" s="31" t="s">
        <v>885</v>
      </c>
    </row>
    <row r="109" spans="1:11" ht="29.25" customHeight="1">
      <c r="A109" s="1"/>
      <c r="B109" s="346" t="s">
        <v>782</v>
      </c>
      <c r="C109" s="307"/>
      <c r="D109" s="1"/>
      <c r="E109" s="1"/>
      <c r="F109" s="1"/>
      <c r="G109" s="350"/>
      <c r="H109" s="1">
        <f t="shared" si="8"/>
        <v>0</v>
      </c>
      <c r="I109" s="1"/>
    </row>
    <row r="110" spans="1:11" ht="23.25" customHeight="1">
      <c r="A110" s="312">
        <v>1</v>
      </c>
      <c r="B110" s="306" t="s">
        <v>781</v>
      </c>
      <c r="C110" s="306"/>
      <c r="D110" s="312">
        <v>0.3</v>
      </c>
      <c r="E110" s="312">
        <v>220</v>
      </c>
      <c r="F110" s="312">
        <f>E110*3</f>
        <v>660</v>
      </c>
      <c r="G110" s="350"/>
      <c r="H110" s="1">
        <f t="shared" si="8"/>
        <v>660</v>
      </c>
      <c r="I110" s="312">
        <v>600</v>
      </c>
      <c r="K110" s="31" t="s">
        <v>886</v>
      </c>
    </row>
    <row r="111" spans="1:11" ht="26.25" customHeight="1">
      <c r="A111" s="312">
        <v>2</v>
      </c>
      <c r="B111" s="306" t="s">
        <v>692</v>
      </c>
      <c r="C111" s="306"/>
      <c r="D111" s="312">
        <v>0.35</v>
      </c>
      <c r="E111" s="312">
        <v>204</v>
      </c>
      <c r="F111" s="312">
        <f t="shared" ref="F111" si="9">E111*3</f>
        <v>612</v>
      </c>
      <c r="G111" s="350"/>
      <c r="H111" s="1">
        <f t="shared" si="8"/>
        <v>612</v>
      </c>
      <c r="I111" s="312">
        <v>550</v>
      </c>
      <c r="J111" s="31"/>
      <c r="K111" s="31" t="s">
        <v>887</v>
      </c>
    </row>
    <row r="112" spans="1:11" ht="27" customHeight="1">
      <c r="A112" s="1">
        <v>3</v>
      </c>
      <c r="B112" s="324" t="s">
        <v>783</v>
      </c>
      <c r="C112" s="307"/>
      <c r="D112" s="292">
        <v>0.35</v>
      </c>
      <c r="E112" s="292">
        <v>242</v>
      </c>
      <c r="F112" s="325">
        <f>E112*2.5</f>
        <v>605</v>
      </c>
      <c r="G112" s="350"/>
      <c r="H112" s="1">
        <f t="shared" si="8"/>
        <v>605</v>
      </c>
      <c r="I112" s="1">
        <v>600</v>
      </c>
      <c r="K112" s="31" t="s">
        <v>888</v>
      </c>
    </row>
    <row r="113" spans="1:14" ht="32.25" customHeight="1">
      <c r="A113" s="1">
        <v>4</v>
      </c>
      <c r="B113" s="324" t="s">
        <v>370</v>
      </c>
      <c r="C113" s="307"/>
      <c r="D113" s="325">
        <v>0.35</v>
      </c>
      <c r="E113" s="325">
        <v>242</v>
      </c>
      <c r="F113" s="325">
        <f>E113*2.5</f>
        <v>605</v>
      </c>
      <c r="G113" s="350"/>
      <c r="H113" s="1">
        <f t="shared" si="8"/>
        <v>605</v>
      </c>
      <c r="I113" s="325">
        <v>600</v>
      </c>
      <c r="J113" s="291"/>
      <c r="K113" s="31" t="s">
        <v>889</v>
      </c>
    </row>
    <row r="114" spans="1:14" ht="18.75">
      <c r="A114" s="1"/>
      <c r="B114" s="347" t="s">
        <v>784</v>
      </c>
      <c r="D114" s="1"/>
      <c r="E114" s="1"/>
      <c r="F114" s="1"/>
      <c r="G114" s="350"/>
      <c r="H114" s="1">
        <f t="shared" si="8"/>
        <v>0</v>
      </c>
      <c r="I114" s="1"/>
    </row>
    <row r="115" spans="1:14" ht="42.75">
      <c r="A115" s="325">
        <v>1</v>
      </c>
      <c r="B115" s="308" t="s">
        <v>690</v>
      </c>
      <c r="C115" s="308" t="s">
        <v>691</v>
      </c>
      <c r="D115" s="328">
        <v>0.35</v>
      </c>
      <c r="E115" s="328">
        <v>162</v>
      </c>
      <c r="F115" s="328">
        <f>E115*3</f>
        <v>486</v>
      </c>
      <c r="G115" s="350"/>
      <c r="H115" s="1">
        <f t="shared" si="8"/>
        <v>486</v>
      </c>
      <c r="I115" s="328">
        <v>500</v>
      </c>
      <c r="J115" t="s">
        <v>598</v>
      </c>
      <c r="K115" s="31" t="s">
        <v>890</v>
      </c>
    </row>
    <row r="116" spans="1:14" ht="42.75" customHeight="1">
      <c r="A116" s="312">
        <v>2</v>
      </c>
      <c r="B116" s="306" t="s">
        <v>786</v>
      </c>
      <c r="C116" s="306" t="s">
        <v>787</v>
      </c>
      <c r="D116" s="312">
        <v>0.35</v>
      </c>
      <c r="E116" s="312">
        <v>181</v>
      </c>
      <c r="F116" s="312">
        <f>E116*3</f>
        <v>543</v>
      </c>
      <c r="G116" s="350"/>
      <c r="H116" s="1">
        <f t="shared" si="8"/>
        <v>543</v>
      </c>
      <c r="I116" s="312">
        <v>550</v>
      </c>
      <c r="K116" s="31" t="s">
        <v>891</v>
      </c>
    </row>
    <row r="117" spans="1:14" ht="21" customHeight="1">
      <c r="A117" s="312">
        <v>3</v>
      </c>
      <c r="B117" s="306" t="s">
        <v>693</v>
      </c>
      <c r="C117" s="306"/>
      <c r="D117" s="312">
        <v>0.35</v>
      </c>
      <c r="E117" s="312">
        <v>135</v>
      </c>
      <c r="F117" s="312">
        <f>E117*3</f>
        <v>405</v>
      </c>
      <c r="G117" s="350"/>
      <c r="H117" s="1">
        <f t="shared" si="8"/>
        <v>405</v>
      </c>
      <c r="I117" s="312">
        <v>400</v>
      </c>
      <c r="K117" s="31" t="s">
        <v>892</v>
      </c>
    </row>
    <row r="118" spans="1:14" ht="15.75">
      <c r="A118" s="312">
        <v>4</v>
      </c>
      <c r="B118" s="306" t="s">
        <v>695</v>
      </c>
      <c r="C118" s="306"/>
      <c r="D118" s="312">
        <v>0.35</v>
      </c>
      <c r="E118" s="312">
        <v>148</v>
      </c>
      <c r="F118" s="312">
        <f>E118*3</f>
        <v>444</v>
      </c>
      <c r="G118" s="350"/>
      <c r="H118" s="1">
        <f t="shared" si="8"/>
        <v>444</v>
      </c>
      <c r="I118" s="312">
        <v>450</v>
      </c>
      <c r="K118" s="31" t="s">
        <v>893</v>
      </c>
    </row>
    <row r="119" spans="1:14" ht="27.75" customHeight="1">
      <c r="A119" s="325"/>
      <c r="B119" s="348" t="s">
        <v>788</v>
      </c>
      <c r="C119" s="307"/>
      <c r="D119" s="325"/>
      <c r="E119" s="325"/>
      <c r="F119" s="325"/>
      <c r="G119" s="350"/>
      <c r="H119" s="1">
        <f t="shared" si="8"/>
        <v>0</v>
      </c>
      <c r="I119" s="325"/>
    </row>
    <row r="120" spans="1:14" ht="39.75" customHeight="1">
      <c r="A120" s="325">
        <v>1</v>
      </c>
      <c r="B120" s="312" t="s">
        <v>686</v>
      </c>
      <c r="C120" s="306" t="s">
        <v>687</v>
      </c>
      <c r="D120" s="1">
        <v>0.2</v>
      </c>
      <c r="E120" s="1">
        <v>90</v>
      </c>
      <c r="F120" s="1">
        <f>E120*3</f>
        <v>270</v>
      </c>
      <c r="G120" s="350"/>
      <c r="H120" s="1">
        <f t="shared" si="8"/>
        <v>270</v>
      </c>
      <c r="I120" s="1">
        <v>250</v>
      </c>
      <c r="K120" s="31" t="s">
        <v>894</v>
      </c>
    </row>
    <row r="121" spans="1:14" ht="39.75" customHeight="1">
      <c r="A121" s="325">
        <v>2</v>
      </c>
      <c r="B121" s="312" t="s">
        <v>789</v>
      </c>
      <c r="C121" s="306" t="s">
        <v>804</v>
      </c>
      <c r="D121" s="1">
        <v>0.35</v>
      </c>
      <c r="E121" s="1">
        <v>90</v>
      </c>
      <c r="F121" s="1">
        <f>E121*3</f>
        <v>270</v>
      </c>
      <c r="G121" s="350"/>
      <c r="H121" s="1">
        <f t="shared" si="8"/>
        <v>270</v>
      </c>
      <c r="I121" s="1">
        <v>300</v>
      </c>
      <c r="K121" s="31" t="s">
        <v>895</v>
      </c>
    </row>
    <row r="122" spans="1:14" ht="15.75">
      <c r="A122" s="1"/>
      <c r="B122" s="312" t="s">
        <v>696</v>
      </c>
      <c r="C122" s="312"/>
      <c r="D122" s="1"/>
      <c r="E122" s="1"/>
      <c r="F122" s="1"/>
      <c r="G122" s="350"/>
      <c r="H122" s="1"/>
      <c r="I122" s="1"/>
    </row>
    <row r="123" spans="1:14" ht="15.75">
      <c r="A123" s="1">
        <v>1</v>
      </c>
      <c r="B123" s="324" t="s">
        <v>188</v>
      </c>
      <c r="C123" s="324"/>
      <c r="D123" s="1">
        <v>0.15</v>
      </c>
      <c r="E123" s="1">
        <v>60</v>
      </c>
      <c r="F123" s="1">
        <f t="shared" si="3"/>
        <v>180</v>
      </c>
      <c r="G123" s="350"/>
      <c r="H123" s="1">
        <f t="shared" ref="H123:H130" si="10">F123+G123</f>
        <v>180</v>
      </c>
      <c r="I123" s="1">
        <v>200</v>
      </c>
      <c r="K123" s="31" t="s">
        <v>896</v>
      </c>
    </row>
    <row r="124" spans="1:14" ht="15.75">
      <c r="A124" s="1">
        <v>4</v>
      </c>
      <c r="B124" s="324" t="s">
        <v>356</v>
      </c>
      <c r="C124" s="324"/>
      <c r="D124" s="1">
        <v>0.15</v>
      </c>
      <c r="E124" s="1">
        <v>16</v>
      </c>
      <c r="F124" s="1">
        <f t="shared" ref="F124:F130" si="11">E124*3</f>
        <v>48</v>
      </c>
      <c r="G124" s="350"/>
      <c r="H124" s="1">
        <f t="shared" si="10"/>
        <v>48</v>
      </c>
      <c r="I124" s="1">
        <v>120</v>
      </c>
      <c r="K124" s="31" t="s">
        <v>897</v>
      </c>
      <c r="N124" t="s">
        <v>805</v>
      </c>
    </row>
    <row r="125" spans="1:14" ht="15.75">
      <c r="A125" s="1">
        <v>5</v>
      </c>
      <c r="B125" s="324" t="s">
        <v>415</v>
      </c>
      <c r="C125" s="324"/>
      <c r="D125" s="1">
        <v>0.15</v>
      </c>
      <c r="E125" s="1">
        <v>78</v>
      </c>
      <c r="F125" s="1">
        <f t="shared" si="11"/>
        <v>234</v>
      </c>
      <c r="G125" s="350"/>
      <c r="H125" s="1">
        <f t="shared" si="10"/>
        <v>234</v>
      </c>
      <c r="I125" s="1">
        <v>250</v>
      </c>
      <c r="K125" s="31" t="s">
        <v>898</v>
      </c>
    </row>
    <row r="126" spans="1:14" ht="15.75">
      <c r="A126" s="1">
        <v>6</v>
      </c>
      <c r="B126" s="324" t="s">
        <v>697</v>
      </c>
      <c r="C126" s="324"/>
      <c r="D126" s="1">
        <v>0.15</v>
      </c>
      <c r="E126" s="1">
        <v>58</v>
      </c>
      <c r="F126" s="1">
        <f t="shared" si="11"/>
        <v>174</v>
      </c>
      <c r="G126" s="350"/>
      <c r="H126" s="1">
        <f t="shared" si="10"/>
        <v>174</v>
      </c>
      <c r="I126" s="1">
        <v>200</v>
      </c>
    </row>
    <row r="127" spans="1:14" ht="15.75">
      <c r="A127" s="1">
        <v>7</v>
      </c>
      <c r="B127" s="324" t="s">
        <v>345</v>
      </c>
      <c r="C127" s="324"/>
      <c r="D127" s="1">
        <v>0.15</v>
      </c>
      <c r="E127" s="1">
        <v>64</v>
      </c>
      <c r="F127" s="1">
        <f t="shared" si="11"/>
        <v>192</v>
      </c>
      <c r="G127" s="350"/>
      <c r="H127" s="1">
        <f t="shared" si="10"/>
        <v>192</v>
      </c>
      <c r="I127" s="1">
        <v>200</v>
      </c>
      <c r="K127" s="31" t="s">
        <v>912</v>
      </c>
    </row>
    <row r="128" spans="1:14" ht="15.75">
      <c r="A128" s="1"/>
      <c r="B128" s="312" t="s">
        <v>698</v>
      </c>
      <c r="C128" s="312"/>
      <c r="D128" s="1"/>
      <c r="E128" s="1"/>
      <c r="F128" s="1">
        <f t="shared" si="11"/>
        <v>0</v>
      </c>
      <c r="G128" s="350"/>
      <c r="H128" s="1">
        <f t="shared" si="10"/>
        <v>0</v>
      </c>
      <c r="I128" s="1"/>
    </row>
    <row r="129" spans="1:11" ht="15.75">
      <c r="A129" s="1">
        <v>1</v>
      </c>
      <c r="B129" s="1" t="s">
        <v>699</v>
      </c>
      <c r="C129" s="1"/>
      <c r="D129" s="1">
        <v>0.15</v>
      </c>
      <c r="E129" s="1">
        <v>30</v>
      </c>
      <c r="F129" s="1">
        <f t="shared" si="11"/>
        <v>90</v>
      </c>
      <c r="G129" s="350"/>
      <c r="H129" s="1">
        <f t="shared" si="10"/>
        <v>90</v>
      </c>
      <c r="I129" s="1">
        <v>150</v>
      </c>
      <c r="K129" s="31" t="s">
        <v>913</v>
      </c>
    </row>
    <row r="130" spans="1:11" ht="15.75">
      <c r="A130" s="1">
        <v>3</v>
      </c>
      <c r="B130" s="1" t="s">
        <v>700</v>
      </c>
      <c r="C130" s="1"/>
      <c r="D130" s="1">
        <v>0.25</v>
      </c>
      <c r="E130" s="1">
        <v>90</v>
      </c>
      <c r="F130" s="1">
        <f t="shared" si="11"/>
        <v>270</v>
      </c>
      <c r="G130" s="350"/>
      <c r="H130" s="1">
        <f t="shared" si="10"/>
        <v>270</v>
      </c>
      <c r="I130" s="1">
        <v>250</v>
      </c>
      <c r="K130" s="31" t="s">
        <v>914</v>
      </c>
    </row>
    <row r="131" spans="1:11" ht="21">
      <c r="A131" s="252"/>
      <c r="B131" s="329" t="s">
        <v>702</v>
      </c>
      <c r="C131" s="252"/>
      <c r="D131" s="252"/>
      <c r="E131" s="252"/>
      <c r="F131" s="252"/>
      <c r="G131" s="350"/>
      <c r="H131" s="252"/>
      <c r="I131" s="252"/>
    </row>
    <row r="132" spans="1:11" ht="18.75">
      <c r="A132" s="1"/>
      <c r="B132" s="330" t="s">
        <v>609</v>
      </c>
      <c r="C132" s="1"/>
      <c r="D132" s="1"/>
      <c r="E132" s="1"/>
      <c r="F132" s="331"/>
      <c r="G132" s="350"/>
      <c r="H132" s="332"/>
      <c r="I132" s="333"/>
    </row>
    <row r="133" spans="1:11" ht="15.75">
      <c r="A133" s="1"/>
      <c r="B133" s="1" t="s">
        <v>703</v>
      </c>
      <c r="C133" s="1"/>
      <c r="D133" s="1">
        <v>200</v>
      </c>
      <c r="E133" s="1">
        <v>70</v>
      </c>
      <c r="F133" s="331">
        <f>E133*3</f>
        <v>210</v>
      </c>
      <c r="G133" s="350"/>
      <c r="H133" s="332">
        <f>G133+F133</f>
        <v>210</v>
      </c>
      <c r="I133" s="333">
        <v>210</v>
      </c>
      <c r="K133" s="31" t="s">
        <v>899</v>
      </c>
    </row>
    <row r="134" spans="1:11" ht="15.75">
      <c r="A134" s="1"/>
      <c r="B134" s="1" t="s">
        <v>704</v>
      </c>
      <c r="C134" s="1"/>
      <c r="D134" s="1">
        <v>200</v>
      </c>
      <c r="E134" s="1">
        <v>70</v>
      </c>
      <c r="F134" s="331">
        <f>E134*3</f>
        <v>210</v>
      </c>
      <c r="G134" s="350"/>
      <c r="H134" s="332">
        <f>G134+F134</f>
        <v>210</v>
      </c>
      <c r="I134" s="333">
        <v>210</v>
      </c>
      <c r="K134" s="31" t="s">
        <v>900</v>
      </c>
    </row>
    <row r="135" spans="1:11" ht="15.75">
      <c r="A135" s="1"/>
      <c r="B135" s="1" t="s">
        <v>705</v>
      </c>
      <c r="C135" s="1"/>
      <c r="D135" s="1">
        <v>200</v>
      </c>
      <c r="E135" s="1">
        <v>72</v>
      </c>
      <c r="F135" s="331">
        <f t="shared" ref="F135:F150" si="12">E135*3</f>
        <v>216</v>
      </c>
      <c r="G135" s="350"/>
      <c r="H135" s="332">
        <f>G135+F135</f>
        <v>216</v>
      </c>
      <c r="I135" s="333">
        <v>210</v>
      </c>
      <c r="K135" s="31" t="s">
        <v>901</v>
      </c>
    </row>
    <row r="136" spans="1:11" ht="15.75">
      <c r="A136" s="1"/>
      <c r="B136" s="295" t="s">
        <v>706</v>
      </c>
      <c r="C136" s="1"/>
      <c r="D136" s="1"/>
      <c r="E136" s="1"/>
      <c r="F136" s="331"/>
      <c r="G136" s="350"/>
      <c r="H136" s="332"/>
      <c r="I136" s="333"/>
    </row>
    <row r="137" spans="1:11" ht="15.75">
      <c r="A137" s="1"/>
      <c r="B137" s="1" t="s">
        <v>707</v>
      </c>
      <c r="C137" s="1"/>
      <c r="D137" s="1">
        <v>200</v>
      </c>
      <c r="E137" s="1">
        <v>40</v>
      </c>
      <c r="F137" s="331">
        <f t="shared" si="12"/>
        <v>120</v>
      </c>
      <c r="G137" s="350"/>
      <c r="H137" s="332">
        <f>G137+F137</f>
        <v>120</v>
      </c>
      <c r="I137" s="333">
        <v>150</v>
      </c>
      <c r="K137" s="31" t="s">
        <v>902</v>
      </c>
    </row>
    <row r="138" spans="1:11" ht="15.75">
      <c r="A138" s="1"/>
      <c r="B138" s="1" t="s">
        <v>708</v>
      </c>
      <c r="C138" s="1"/>
      <c r="D138" s="1">
        <v>200</v>
      </c>
      <c r="E138" s="1">
        <v>75</v>
      </c>
      <c r="F138" s="331">
        <f t="shared" si="12"/>
        <v>225</v>
      </c>
      <c r="G138" s="350"/>
      <c r="H138" s="332">
        <f>G138+F138</f>
        <v>225</v>
      </c>
      <c r="I138" s="333">
        <v>220</v>
      </c>
      <c r="K138" s="31" t="s">
        <v>903</v>
      </c>
    </row>
    <row r="139" spans="1:11" ht="15.75">
      <c r="A139" s="1"/>
      <c r="B139" s="1" t="s">
        <v>709</v>
      </c>
      <c r="C139" s="1"/>
      <c r="D139" s="1">
        <v>200</v>
      </c>
      <c r="E139" s="1">
        <v>95</v>
      </c>
      <c r="F139" s="331">
        <f t="shared" si="12"/>
        <v>285</v>
      </c>
      <c r="G139" s="350"/>
      <c r="H139" s="332">
        <f>G139+F139</f>
        <v>285</v>
      </c>
      <c r="I139" s="333">
        <v>250</v>
      </c>
      <c r="K139" s="31" t="s">
        <v>904</v>
      </c>
    </row>
    <row r="140" spans="1:11" ht="15.75">
      <c r="A140" s="1"/>
      <c r="B140" s="295" t="s">
        <v>710</v>
      </c>
      <c r="C140" s="1"/>
      <c r="D140" s="1"/>
      <c r="E140" s="1"/>
      <c r="F140" s="331"/>
      <c r="G140" s="350"/>
      <c r="H140" s="332"/>
      <c r="I140" s="333"/>
    </row>
    <row r="141" spans="1:11" ht="15.75">
      <c r="A141" s="1"/>
      <c r="B141" s="334" t="s">
        <v>711</v>
      </c>
      <c r="C141" s="1"/>
      <c r="D141" s="1">
        <v>200</v>
      </c>
      <c r="E141" s="1">
        <v>90</v>
      </c>
      <c r="F141" s="331">
        <f t="shared" si="12"/>
        <v>270</v>
      </c>
      <c r="G141" s="350"/>
      <c r="H141" s="332">
        <f>G141+F141</f>
        <v>270</v>
      </c>
      <c r="I141" s="333">
        <v>250</v>
      </c>
      <c r="K141" s="31" t="s">
        <v>905</v>
      </c>
    </row>
    <row r="142" spans="1:11" ht="15.75">
      <c r="A142" s="1"/>
      <c r="B142" s="1" t="s">
        <v>712</v>
      </c>
      <c r="C142" s="1"/>
      <c r="D142" s="1">
        <v>200</v>
      </c>
      <c r="E142" s="334">
        <v>85</v>
      </c>
      <c r="F142" s="331">
        <f t="shared" si="12"/>
        <v>255</v>
      </c>
      <c r="G142" s="350"/>
      <c r="H142" s="332">
        <f>G142+F142</f>
        <v>255</v>
      </c>
      <c r="I142" s="335">
        <v>250</v>
      </c>
      <c r="K142" s="31" t="s">
        <v>906</v>
      </c>
    </row>
    <row r="143" spans="1:11" ht="15.75">
      <c r="A143" s="1"/>
      <c r="B143" s="1" t="s">
        <v>713</v>
      </c>
      <c r="C143" s="1"/>
      <c r="D143" s="1">
        <v>200</v>
      </c>
      <c r="E143" s="334">
        <v>60</v>
      </c>
      <c r="F143" s="331">
        <f t="shared" si="12"/>
        <v>180</v>
      </c>
      <c r="G143" s="350"/>
      <c r="H143" s="332">
        <f>G143+F143</f>
        <v>180</v>
      </c>
      <c r="I143" s="335">
        <v>200</v>
      </c>
      <c r="K143" s="31" t="s">
        <v>907</v>
      </c>
    </row>
    <row r="144" spans="1:11" ht="15.75">
      <c r="A144" s="1"/>
      <c r="B144" s="1" t="s">
        <v>714</v>
      </c>
      <c r="C144" s="1"/>
      <c r="D144" s="1">
        <v>200</v>
      </c>
      <c r="E144" s="1">
        <v>62</v>
      </c>
      <c r="F144" s="331">
        <f t="shared" si="12"/>
        <v>186</v>
      </c>
      <c r="G144" s="350"/>
      <c r="H144" s="332">
        <f>G144+F144</f>
        <v>186</v>
      </c>
      <c r="I144" s="333">
        <v>200</v>
      </c>
      <c r="K144" s="31" t="s">
        <v>908</v>
      </c>
    </row>
    <row r="145" spans="1:11" ht="15.75">
      <c r="A145" s="1"/>
      <c r="B145" s="1" t="s">
        <v>924</v>
      </c>
      <c r="C145" s="1"/>
      <c r="D145" s="1">
        <v>300</v>
      </c>
      <c r="E145" s="1">
        <v>135</v>
      </c>
      <c r="F145" s="331">
        <f t="shared" si="12"/>
        <v>405</v>
      </c>
      <c r="G145" s="350"/>
      <c r="H145" s="332">
        <f>G145+F145</f>
        <v>405</v>
      </c>
      <c r="I145" s="333">
        <v>350</v>
      </c>
      <c r="K145" s="31" t="s">
        <v>925</v>
      </c>
    </row>
    <row r="146" spans="1:11" ht="15.75">
      <c r="A146" s="1"/>
      <c r="B146" s="295" t="s">
        <v>701</v>
      </c>
      <c r="C146" s="1"/>
      <c r="D146" s="1"/>
      <c r="E146" s="1"/>
      <c r="F146" s="331"/>
      <c r="G146" s="350"/>
      <c r="H146" s="332"/>
      <c r="I146" s="1"/>
    </row>
    <row r="147" spans="1:11" ht="15.75">
      <c r="A147" s="1"/>
      <c r="B147" s="324" t="s">
        <v>715</v>
      </c>
      <c r="C147" s="1"/>
      <c r="D147" s="1">
        <v>100</v>
      </c>
      <c r="E147" s="1">
        <v>42</v>
      </c>
      <c r="F147" s="331">
        <f t="shared" si="12"/>
        <v>126</v>
      </c>
      <c r="G147" s="350"/>
      <c r="H147" s="332">
        <f>G147+F147</f>
        <v>126</v>
      </c>
      <c r="I147" s="1">
        <v>150</v>
      </c>
      <c r="K147" s="31" t="s">
        <v>909</v>
      </c>
    </row>
    <row r="148" spans="1:11" ht="15.75">
      <c r="A148" s="1"/>
      <c r="B148" s="324" t="s">
        <v>716</v>
      </c>
      <c r="C148" s="1"/>
      <c r="D148" s="1">
        <v>100</v>
      </c>
      <c r="E148" s="1">
        <v>55</v>
      </c>
      <c r="F148" s="331">
        <f t="shared" si="12"/>
        <v>165</v>
      </c>
      <c r="G148" s="350"/>
      <c r="H148" s="332">
        <f>G148+F148</f>
        <v>165</v>
      </c>
      <c r="I148" s="1">
        <v>150</v>
      </c>
      <c r="K148" s="31" t="s">
        <v>910</v>
      </c>
    </row>
    <row r="149" spans="1:11" ht="15.75">
      <c r="A149" s="1"/>
      <c r="B149" s="324" t="s">
        <v>717</v>
      </c>
      <c r="C149" s="1"/>
      <c r="D149" s="1">
        <v>100</v>
      </c>
      <c r="E149" s="1">
        <v>32</v>
      </c>
      <c r="F149" s="331">
        <f t="shared" si="12"/>
        <v>96</v>
      </c>
      <c r="G149" s="350"/>
      <c r="H149" s="332">
        <f>G149+F149</f>
        <v>96</v>
      </c>
      <c r="I149" s="1">
        <v>100</v>
      </c>
      <c r="K149" s="31" t="s">
        <v>911</v>
      </c>
    </row>
    <row r="150" spans="1:11" ht="15.75">
      <c r="B150" s="292" t="s">
        <v>926</v>
      </c>
      <c r="D150" s="292">
        <v>150</v>
      </c>
      <c r="E150" s="292">
        <v>99</v>
      </c>
      <c r="F150" s="358">
        <f t="shared" si="12"/>
        <v>297</v>
      </c>
      <c r="H150" s="359">
        <f>G150+F150</f>
        <v>297</v>
      </c>
      <c r="I150" s="292">
        <v>250</v>
      </c>
      <c r="K150" s="31" t="s">
        <v>927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J144"/>
  <sheetViews>
    <sheetView topLeftCell="A133" workbookViewId="0">
      <selection activeCell="L134" sqref="L134"/>
    </sheetView>
  </sheetViews>
  <sheetFormatPr defaultRowHeight="15"/>
  <cols>
    <col min="1" max="1" width="3.5703125" customWidth="1"/>
    <col min="2" max="2" width="22.5703125" customWidth="1"/>
    <col min="3" max="3" width="8.28515625" customWidth="1"/>
    <col min="4" max="5" width="6.42578125" customWidth="1"/>
    <col min="6" max="6" width="13.28515625" style="3" customWidth="1"/>
    <col min="7" max="7" width="11.42578125" style="3" customWidth="1"/>
  </cols>
  <sheetData>
    <row r="1" spans="1:7">
      <c r="B1" s="14" t="s">
        <v>11</v>
      </c>
    </row>
    <row r="2" spans="1:7" ht="36">
      <c r="A2" s="4" t="s">
        <v>12</v>
      </c>
      <c r="B2" s="4" t="s">
        <v>0</v>
      </c>
      <c r="C2" s="4" t="s">
        <v>1</v>
      </c>
      <c r="D2" s="4" t="s">
        <v>2</v>
      </c>
      <c r="E2" s="4" t="s">
        <v>3</v>
      </c>
      <c r="F2" s="5" t="s">
        <v>13</v>
      </c>
      <c r="G2" s="5" t="s">
        <v>15</v>
      </c>
    </row>
    <row r="3" spans="1:7">
      <c r="A3" s="2">
        <v>1</v>
      </c>
      <c r="B3" s="1" t="s">
        <v>4</v>
      </c>
      <c r="C3" s="1" t="s">
        <v>5</v>
      </c>
      <c r="D3" s="1">
        <v>200</v>
      </c>
      <c r="E3" s="1">
        <v>179</v>
      </c>
      <c r="F3" s="6">
        <v>131</v>
      </c>
      <c r="G3" s="7">
        <f>D3*F3/1000</f>
        <v>26.2</v>
      </c>
    </row>
    <row r="4" spans="1:7">
      <c r="A4" s="2">
        <v>2</v>
      </c>
      <c r="B4" s="1" t="s">
        <v>6</v>
      </c>
      <c r="C4" s="1" t="s">
        <v>5</v>
      </c>
      <c r="D4" s="1">
        <v>50</v>
      </c>
      <c r="E4" s="1">
        <v>50</v>
      </c>
      <c r="F4" s="6">
        <v>60</v>
      </c>
      <c r="G4" s="7">
        <f t="shared" ref="G4:G7" si="0">D4*F4/1000</f>
        <v>3</v>
      </c>
    </row>
    <row r="5" spans="1:7">
      <c r="A5" s="2">
        <v>3</v>
      </c>
      <c r="B5" s="1" t="s">
        <v>7</v>
      </c>
      <c r="C5" s="1" t="s">
        <v>5</v>
      </c>
      <c r="D5" s="1">
        <v>10</v>
      </c>
      <c r="E5" s="1">
        <v>10</v>
      </c>
      <c r="F5" s="6">
        <v>120</v>
      </c>
      <c r="G5" s="7">
        <f t="shared" si="0"/>
        <v>1.2</v>
      </c>
    </row>
    <row r="6" spans="1:7">
      <c r="A6" s="2">
        <v>4</v>
      </c>
      <c r="B6" s="1" t="s">
        <v>8</v>
      </c>
      <c r="C6" s="1" t="s">
        <v>5</v>
      </c>
      <c r="D6" s="1">
        <v>1</v>
      </c>
      <c r="E6" s="1">
        <v>1</v>
      </c>
      <c r="F6" s="6">
        <v>30</v>
      </c>
      <c r="G6" s="7">
        <f t="shared" si="0"/>
        <v>0.03</v>
      </c>
    </row>
    <row r="7" spans="1:7">
      <c r="A7" s="2">
        <v>5</v>
      </c>
      <c r="B7" s="1" t="s">
        <v>9</v>
      </c>
      <c r="C7" s="1" t="s">
        <v>5</v>
      </c>
      <c r="D7" s="1">
        <v>10</v>
      </c>
      <c r="E7" s="1">
        <v>10</v>
      </c>
      <c r="F7" s="6">
        <v>950</v>
      </c>
      <c r="G7" s="7">
        <f t="shared" si="0"/>
        <v>9.5</v>
      </c>
    </row>
    <row r="8" spans="1:7">
      <c r="B8" s="10" t="s">
        <v>10</v>
      </c>
      <c r="D8">
        <f>SUM(D3:D7)</f>
        <v>271</v>
      </c>
      <c r="E8" s="17">
        <f>SUM(E3:E7)</f>
        <v>250</v>
      </c>
      <c r="G8" s="8">
        <f>SUM(G3:G7)</f>
        <v>39.93</v>
      </c>
    </row>
    <row r="9" spans="1:7" ht="13.9" customHeight="1">
      <c r="F9" s="11" t="s">
        <v>18</v>
      </c>
      <c r="G9" s="12">
        <f>G8*5</f>
        <v>199.65</v>
      </c>
    </row>
    <row r="10" spans="1:7">
      <c r="F10" s="13" t="s">
        <v>14</v>
      </c>
      <c r="G10" s="13">
        <v>200</v>
      </c>
    </row>
    <row r="11" spans="1:7">
      <c r="B11" s="14" t="s">
        <v>16</v>
      </c>
    </row>
    <row r="12" spans="1:7" ht="36">
      <c r="A12" s="1" t="s">
        <v>12</v>
      </c>
      <c r="B12" s="4" t="s">
        <v>0</v>
      </c>
      <c r="C12" s="4" t="s">
        <v>1</v>
      </c>
      <c r="D12" s="4" t="s">
        <v>2</v>
      </c>
      <c r="E12" s="4" t="s">
        <v>3</v>
      </c>
      <c r="F12" s="5" t="s">
        <v>13</v>
      </c>
      <c r="G12" s="5" t="s">
        <v>15</v>
      </c>
    </row>
    <row r="13" spans="1:7">
      <c r="A13" s="2">
        <v>1</v>
      </c>
      <c r="B13" s="1" t="s">
        <v>4</v>
      </c>
      <c r="C13" s="1" t="s">
        <v>5</v>
      </c>
      <c r="D13" s="1">
        <v>200</v>
      </c>
      <c r="E13" s="1">
        <v>179</v>
      </c>
      <c r="F13" s="6">
        <v>131</v>
      </c>
      <c r="G13" s="6">
        <f>D13*F13/1000</f>
        <v>26.2</v>
      </c>
    </row>
    <row r="14" spans="1:7">
      <c r="A14" s="2">
        <v>2</v>
      </c>
      <c r="B14" s="1" t="s">
        <v>71</v>
      </c>
      <c r="C14" s="1" t="s">
        <v>5</v>
      </c>
      <c r="D14" s="1">
        <v>50</v>
      </c>
      <c r="E14" s="1">
        <v>50</v>
      </c>
      <c r="F14" s="6">
        <v>200</v>
      </c>
      <c r="G14" s="6">
        <f t="shared" ref="G14:G18" si="1">D14*F14/1000</f>
        <v>10</v>
      </c>
    </row>
    <row r="15" spans="1:7">
      <c r="A15" s="2">
        <v>3</v>
      </c>
      <c r="B15" s="1" t="s">
        <v>17</v>
      </c>
      <c r="C15" s="1" t="s">
        <v>5</v>
      </c>
      <c r="D15" s="1">
        <v>100</v>
      </c>
      <c r="E15" s="1">
        <v>0</v>
      </c>
      <c r="F15" s="6">
        <v>0</v>
      </c>
      <c r="G15" s="6">
        <f t="shared" si="1"/>
        <v>0</v>
      </c>
    </row>
    <row r="16" spans="1:7">
      <c r="A16" s="2">
        <v>4</v>
      </c>
      <c r="B16" s="1" t="s">
        <v>7</v>
      </c>
      <c r="C16" s="1" t="s">
        <v>5</v>
      </c>
      <c r="D16" s="1">
        <v>10</v>
      </c>
      <c r="E16" s="1">
        <v>10</v>
      </c>
      <c r="F16" s="6">
        <v>120</v>
      </c>
      <c r="G16" s="6">
        <f t="shared" si="1"/>
        <v>1.2</v>
      </c>
    </row>
    <row r="17" spans="1:7">
      <c r="A17" s="2">
        <v>5</v>
      </c>
      <c r="B17" s="1" t="s">
        <v>8</v>
      </c>
      <c r="C17" s="1" t="s">
        <v>5</v>
      </c>
      <c r="D17" s="1">
        <v>1</v>
      </c>
      <c r="E17" s="1">
        <v>1</v>
      </c>
      <c r="F17" s="6">
        <v>10</v>
      </c>
      <c r="G17" s="6">
        <f t="shared" si="1"/>
        <v>0.01</v>
      </c>
    </row>
    <row r="18" spans="1:7">
      <c r="A18" s="2">
        <v>6</v>
      </c>
      <c r="B18" s="1" t="s">
        <v>9</v>
      </c>
      <c r="C18" s="1" t="s">
        <v>5</v>
      </c>
      <c r="D18" s="1">
        <v>10</v>
      </c>
      <c r="E18" s="1">
        <v>10</v>
      </c>
      <c r="F18" s="6">
        <v>950</v>
      </c>
      <c r="G18" s="6">
        <f t="shared" si="1"/>
        <v>9.5</v>
      </c>
    </row>
    <row r="19" spans="1:7">
      <c r="B19" s="10" t="s">
        <v>10</v>
      </c>
      <c r="D19">
        <f>SUM(D13:D18)</f>
        <v>371</v>
      </c>
      <c r="E19" s="17">
        <f>SUM(E13:E18)</f>
        <v>250</v>
      </c>
      <c r="G19" s="3">
        <f>SUM(G13:G18)</f>
        <v>46.910000000000004</v>
      </c>
    </row>
    <row r="20" spans="1:7">
      <c r="F20" s="11" t="s">
        <v>20</v>
      </c>
      <c r="G20" s="12">
        <f>G19*4</f>
        <v>187.64000000000001</v>
      </c>
    </row>
    <row r="21" spans="1:7">
      <c r="F21" s="13" t="s">
        <v>14</v>
      </c>
      <c r="G21" s="13">
        <v>200</v>
      </c>
    </row>
    <row r="22" spans="1:7">
      <c r="B22" s="14" t="s">
        <v>72</v>
      </c>
    </row>
    <row r="23" spans="1:7" ht="36">
      <c r="A23" s="4" t="s">
        <v>12</v>
      </c>
      <c r="B23" s="4" t="s">
        <v>0</v>
      </c>
      <c r="C23" s="4" t="s">
        <v>1</v>
      </c>
      <c r="D23" s="4" t="s">
        <v>2</v>
      </c>
      <c r="E23" s="4" t="s">
        <v>3</v>
      </c>
      <c r="F23" s="5" t="s">
        <v>13</v>
      </c>
      <c r="G23" s="5" t="s">
        <v>15</v>
      </c>
    </row>
    <row r="24" spans="1:7">
      <c r="A24" s="2">
        <v>1</v>
      </c>
      <c r="B24" s="1" t="s">
        <v>4</v>
      </c>
      <c r="C24" s="1" t="s">
        <v>5</v>
      </c>
      <c r="D24" s="1">
        <v>200</v>
      </c>
      <c r="E24" s="1">
        <v>169</v>
      </c>
      <c r="F24" s="6">
        <v>131</v>
      </c>
      <c r="G24" s="15">
        <f>D24*F24/1000</f>
        <v>26.2</v>
      </c>
    </row>
    <row r="25" spans="1:7">
      <c r="A25" s="2">
        <v>2</v>
      </c>
      <c r="B25" s="1" t="s">
        <v>19</v>
      </c>
      <c r="C25" s="1" t="s">
        <v>5</v>
      </c>
      <c r="D25" s="1">
        <v>60</v>
      </c>
      <c r="E25" s="1">
        <v>60</v>
      </c>
      <c r="F25" s="6">
        <v>200</v>
      </c>
      <c r="G25" s="15">
        <f t="shared" ref="G25:G29" si="2">D25*F25/1000</f>
        <v>12</v>
      </c>
    </row>
    <row r="26" spans="1:7">
      <c r="A26" s="2">
        <v>3</v>
      </c>
      <c r="B26" s="1" t="s">
        <v>17</v>
      </c>
      <c r="C26" s="1" t="s">
        <v>5</v>
      </c>
      <c r="D26" s="1">
        <v>100</v>
      </c>
      <c r="E26" s="1">
        <v>0</v>
      </c>
      <c r="F26" s="6">
        <v>0</v>
      </c>
      <c r="G26" s="15">
        <f t="shared" si="2"/>
        <v>0</v>
      </c>
    </row>
    <row r="27" spans="1:7">
      <c r="A27" s="2">
        <v>4</v>
      </c>
      <c r="B27" s="1" t="s">
        <v>7</v>
      </c>
      <c r="C27" s="1" t="s">
        <v>5</v>
      </c>
      <c r="D27" s="1">
        <v>10</v>
      </c>
      <c r="E27" s="1">
        <v>10</v>
      </c>
      <c r="F27" s="6">
        <v>120</v>
      </c>
      <c r="G27" s="15">
        <f>D27*F27/1000</f>
        <v>1.2</v>
      </c>
    </row>
    <row r="28" spans="1:7">
      <c r="A28" s="2">
        <v>5</v>
      </c>
      <c r="B28" s="1" t="s">
        <v>8</v>
      </c>
      <c r="C28" s="1" t="s">
        <v>5</v>
      </c>
      <c r="D28" s="1">
        <v>1</v>
      </c>
      <c r="E28" s="1">
        <v>1</v>
      </c>
      <c r="F28" s="6">
        <v>10</v>
      </c>
      <c r="G28" s="15">
        <f t="shared" si="2"/>
        <v>0.01</v>
      </c>
    </row>
    <row r="29" spans="1:7">
      <c r="A29" s="2">
        <v>6</v>
      </c>
      <c r="B29" s="1" t="s">
        <v>9</v>
      </c>
      <c r="C29" s="1" t="s">
        <v>5</v>
      </c>
      <c r="D29" s="1">
        <v>10</v>
      </c>
      <c r="E29" s="1">
        <v>10</v>
      </c>
      <c r="F29" s="6">
        <v>950</v>
      </c>
      <c r="G29" s="15">
        <f t="shared" si="2"/>
        <v>9.5</v>
      </c>
    </row>
    <row r="30" spans="1:7">
      <c r="B30" s="10" t="s">
        <v>10</v>
      </c>
      <c r="D30">
        <f>SUM(D24:D29)</f>
        <v>381</v>
      </c>
      <c r="E30" s="17">
        <f>SUM(E24:E29)</f>
        <v>250</v>
      </c>
      <c r="G30" s="9">
        <f>SUM(G24:G29)</f>
        <v>48.910000000000004</v>
      </c>
    </row>
    <row r="31" spans="1:7">
      <c r="F31" s="11" t="s">
        <v>20</v>
      </c>
      <c r="G31" s="12">
        <f>G30*4</f>
        <v>195.64000000000001</v>
      </c>
    </row>
    <row r="32" spans="1:7">
      <c r="F32" s="13" t="s">
        <v>14</v>
      </c>
      <c r="G32" s="13">
        <v>200</v>
      </c>
    </row>
    <row r="33" spans="1:10">
      <c r="B33" s="14" t="s">
        <v>27</v>
      </c>
    </row>
    <row r="34" spans="1:10" ht="36">
      <c r="A34" s="4" t="s">
        <v>12</v>
      </c>
      <c r="B34" s="4" t="s">
        <v>0</v>
      </c>
      <c r="C34" s="4" t="s">
        <v>1</v>
      </c>
      <c r="D34" s="4" t="s">
        <v>2</v>
      </c>
      <c r="E34" s="4" t="s">
        <v>3</v>
      </c>
      <c r="F34" s="5" t="s">
        <v>39</v>
      </c>
      <c r="G34" s="5" t="s">
        <v>15</v>
      </c>
    </row>
    <row r="35" spans="1:10">
      <c r="A35" s="1">
        <v>1</v>
      </c>
      <c r="B35" s="1" t="s">
        <v>21</v>
      </c>
      <c r="C35" s="1" t="s">
        <v>5</v>
      </c>
      <c r="D35" s="1">
        <v>100</v>
      </c>
      <c r="E35" s="1">
        <v>70</v>
      </c>
      <c r="F35" s="6">
        <v>100</v>
      </c>
      <c r="G35" s="15">
        <f>D35*F35/1000</f>
        <v>10</v>
      </c>
    </row>
    <row r="36" spans="1:10">
      <c r="A36" s="1">
        <v>2</v>
      </c>
      <c r="B36" s="1" t="s">
        <v>22</v>
      </c>
      <c r="C36" s="1" t="s">
        <v>5</v>
      </c>
      <c r="D36" s="1">
        <v>30</v>
      </c>
      <c r="E36" s="1">
        <v>30</v>
      </c>
      <c r="F36" s="6">
        <v>800</v>
      </c>
      <c r="G36" s="15">
        <f t="shared" ref="G36:G43" si="3">D36*F36/1000</f>
        <v>24</v>
      </c>
      <c r="H36" s="291"/>
      <c r="I36" s="291"/>
      <c r="J36" s="291"/>
    </row>
    <row r="37" spans="1:10">
      <c r="A37" s="1">
        <v>3</v>
      </c>
      <c r="B37" s="1" t="s">
        <v>23</v>
      </c>
      <c r="C37" s="1" t="s">
        <v>5</v>
      </c>
      <c r="D37" s="1">
        <v>30</v>
      </c>
      <c r="E37" s="1">
        <v>30</v>
      </c>
      <c r="F37" s="6">
        <v>800</v>
      </c>
      <c r="G37" s="15">
        <f t="shared" si="3"/>
        <v>24</v>
      </c>
    </row>
    <row r="38" spans="1:10">
      <c r="A38" s="1">
        <v>4</v>
      </c>
      <c r="B38" s="1" t="s">
        <v>24</v>
      </c>
      <c r="C38" s="1" t="s">
        <v>5</v>
      </c>
      <c r="D38" s="1">
        <v>30</v>
      </c>
      <c r="E38" s="1">
        <v>30</v>
      </c>
      <c r="F38" s="6">
        <v>400</v>
      </c>
      <c r="G38" s="15">
        <f t="shared" si="3"/>
        <v>12</v>
      </c>
    </row>
    <row r="39" spans="1:10">
      <c r="A39" s="1">
        <v>5</v>
      </c>
      <c r="B39" s="1" t="s">
        <v>25</v>
      </c>
      <c r="C39" s="1" t="s">
        <v>5</v>
      </c>
      <c r="D39" s="1">
        <v>30</v>
      </c>
      <c r="E39" s="1">
        <v>30</v>
      </c>
      <c r="F39" s="6">
        <v>400</v>
      </c>
      <c r="G39" s="15">
        <f t="shared" si="3"/>
        <v>12</v>
      </c>
    </row>
    <row r="40" spans="1:10">
      <c r="A40" s="1">
        <v>6</v>
      </c>
      <c r="B40" s="1" t="s">
        <v>26</v>
      </c>
      <c r="C40" s="1" t="s">
        <v>5</v>
      </c>
      <c r="D40" s="1">
        <v>60</v>
      </c>
      <c r="E40" s="1">
        <v>60</v>
      </c>
      <c r="F40" s="6">
        <v>2000</v>
      </c>
      <c r="G40" s="15">
        <f t="shared" si="3"/>
        <v>120</v>
      </c>
    </row>
    <row r="41" spans="1:10">
      <c r="A41" s="324">
        <v>7</v>
      </c>
      <c r="B41" s="324" t="s">
        <v>557</v>
      </c>
      <c r="C41" s="324" t="s">
        <v>111</v>
      </c>
      <c r="D41" s="324">
        <v>20</v>
      </c>
      <c r="E41" s="324">
        <v>20</v>
      </c>
      <c r="F41" s="6">
        <v>120</v>
      </c>
      <c r="G41" s="15">
        <f t="shared" si="3"/>
        <v>2.4</v>
      </c>
    </row>
    <row r="42" spans="1:10">
      <c r="A42" s="324">
        <v>8</v>
      </c>
      <c r="B42" s="324" t="s">
        <v>170</v>
      </c>
      <c r="C42" s="324"/>
      <c r="D42" s="324">
        <v>40</v>
      </c>
      <c r="E42" s="324"/>
      <c r="F42" s="6">
        <v>150</v>
      </c>
      <c r="G42" s="15">
        <f t="shared" si="3"/>
        <v>6</v>
      </c>
    </row>
    <row r="43" spans="1:10">
      <c r="A43" s="324">
        <v>9</v>
      </c>
      <c r="B43" s="324" t="s">
        <v>727</v>
      </c>
      <c r="C43" s="324"/>
      <c r="D43" s="324">
        <v>40</v>
      </c>
      <c r="E43" s="324"/>
      <c r="F43" s="6">
        <v>160</v>
      </c>
      <c r="G43" s="15">
        <f t="shared" si="3"/>
        <v>6.4</v>
      </c>
    </row>
    <row r="44" spans="1:10">
      <c r="B44" s="10" t="s">
        <v>10</v>
      </c>
      <c r="D44">
        <f>SUM(D35:D43)</f>
        <v>380</v>
      </c>
      <c r="E44" s="16">
        <f>SUM(E35:E41)</f>
        <v>270</v>
      </c>
      <c r="G44" s="9">
        <f>SUM(G36:G40)</f>
        <v>192</v>
      </c>
    </row>
    <row r="45" spans="1:10">
      <c r="F45" s="251" t="s">
        <v>28</v>
      </c>
      <c r="G45" s="246">
        <f>G44*3</f>
        <v>576</v>
      </c>
    </row>
    <row r="46" spans="1:10">
      <c r="F46" s="248" t="s">
        <v>14</v>
      </c>
      <c r="G46" s="248">
        <v>550</v>
      </c>
    </row>
    <row r="47" spans="1:10">
      <c r="B47" s="14" t="s">
        <v>40</v>
      </c>
    </row>
    <row r="48" spans="1:10" ht="36">
      <c r="A48" s="4" t="s">
        <v>12</v>
      </c>
      <c r="B48" s="4" t="s">
        <v>0</v>
      </c>
      <c r="C48" s="4" t="s">
        <v>1</v>
      </c>
      <c r="D48" s="4" t="s">
        <v>2</v>
      </c>
      <c r="E48" s="4" t="s">
        <v>3</v>
      </c>
      <c r="F48" s="5" t="s">
        <v>39</v>
      </c>
      <c r="G48" s="5" t="s">
        <v>15</v>
      </c>
    </row>
    <row r="49" spans="1:7">
      <c r="A49" s="2">
        <v>1</v>
      </c>
      <c r="B49" s="1" t="s">
        <v>720</v>
      </c>
      <c r="C49" s="1" t="s">
        <v>5</v>
      </c>
      <c r="D49" s="1">
        <v>30</v>
      </c>
      <c r="E49" s="1">
        <v>30</v>
      </c>
      <c r="F49" s="6">
        <v>150</v>
      </c>
      <c r="G49" s="15">
        <f>D49*F49/1000</f>
        <v>4.5</v>
      </c>
    </row>
    <row r="50" spans="1:7">
      <c r="A50" s="2">
        <v>2</v>
      </c>
      <c r="B50" s="1" t="s">
        <v>30</v>
      </c>
      <c r="C50" s="1" t="s">
        <v>5</v>
      </c>
      <c r="D50" s="1">
        <v>100</v>
      </c>
      <c r="E50" s="1">
        <v>80</v>
      </c>
      <c r="F50" s="6">
        <v>8</v>
      </c>
      <c r="G50" s="15">
        <f>F50*2</f>
        <v>16</v>
      </c>
    </row>
    <row r="51" spans="1:7">
      <c r="A51" s="2">
        <v>3</v>
      </c>
      <c r="B51" s="1" t="s">
        <v>721</v>
      </c>
      <c r="C51" s="1" t="s">
        <v>5</v>
      </c>
      <c r="D51" s="1">
        <v>100</v>
      </c>
      <c r="E51" s="1">
        <v>58.2</v>
      </c>
      <c r="F51" s="6">
        <v>860</v>
      </c>
      <c r="G51" s="15">
        <f t="shared" ref="G51:G58" si="4">D51*F51/1000</f>
        <v>86</v>
      </c>
    </row>
    <row r="52" spans="1:7">
      <c r="A52" s="2">
        <v>4</v>
      </c>
      <c r="B52" s="1" t="s">
        <v>32</v>
      </c>
      <c r="C52" s="1" t="s">
        <v>5</v>
      </c>
      <c r="D52" s="1">
        <v>60</v>
      </c>
      <c r="E52" s="1">
        <v>60</v>
      </c>
      <c r="F52" s="6">
        <v>1000</v>
      </c>
      <c r="G52" s="15">
        <f t="shared" si="4"/>
        <v>60</v>
      </c>
    </row>
    <row r="53" spans="1:7">
      <c r="A53" s="2">
        <v>5</v>
      </c>
      <c r="B53" s="1" t="s">
        <v>536</v>
      </c>
      <c r="C53" s="1" t="s">
        <v>5</v>
      </c>
      <c r="D53" s="1">
        <v>40</v>
      </c>
      <c r="E53" s="1">
        <v>36</v>
      </c>
      <c r="F53" s="6">
        <v>100</v>
      </c>
      <c r="G53" s="15">
        <f t="shared" si="4"/>
        <v>4</v>
      </c>
    </row>
    <row r="54" spans="1:7">
      <c r="A54" s="2">
        <v>6</v>
      </c>
      <c r="B54" s="1" t="s">
        <v>722</v>
      </c>
      <c r="C54" s="1" t="s">
        <v>5</v>
      </c>
      <c r="D54" s="1">
        <v>120</v>
      </c>
      <c r="E54" s="1">
        <v>25</v>
      </c>
      <c r="F54" s="6">
        <v>330</v>
      </c>
      <c r="G54" s="15">
        <f t="shared" si="4"/>
        <v>39.6</v>
      </c>
    </row>
    <row r="55" spans="1:7">
      <c r="A55" s="2">
        <v>7</v>
      </c>
      <c r="B55" s="1" t="s">
        <v>35</v>
      </c>
      <c r="C55" s="1" t="s">
        <v>5</v>
      </c>
      <c r="D55" s="1">
        <v>15</v>
      </c>
      <c r="E55" s="1">
        <v>10</v>
      </c>
      <c r="F55" s="6">
        <v>175</v>
      </c>
      <c r="G55" s="15">
        <f t="shared" si="4"/>
        <v>2.625</v>
      </c>
    </row>
    <row r="56" spans="1:7">
      <c r="A56" s="2">
        <v>9</v>
      </c>
      <c r="B56" s="1" t="s">
        <v>37</v>
      </c>
      <c r="C56" s="1" t="s">
        <v>5</v>
      </c>
      <c r="D56" s="1">
        <v>10</v>
      </c>
      <c r="E56" s="1">
        <v>10</v>
      </c>
      <c r="F56" s="6">
        <v>126</v>
      </c>
      <c r="G56" s="15">
        <f t="shared" si="4"/>
        <v>1.26</v>
      </c>
    </row>
    <row r="57" spans="1:7">
      <c r="A57" s="2">
        <v>10</v>
      </c>
      <c r="B57" s="1" t="s">
        <v>8</v>
      </c>
      <c r="C57" s="1" t="s">
        <v>5</v>
      </c>
      <c r="D57" s="1">
        <v>1</v>
      </c>
      <c r="E57" s="1">
        <v>10</v>
      </c>
      <c r="F57" s="6">
        <v>10</v>
      </c>
      <c r="G57" s="15">
        <v>1</v>
      </c>
    </row>
    <row r="58" spans="1:7">
      <c r="A58" s="2">
        <v>11</v>
      </c>
      <c r="B58" s="1" t="s">
        <v>723</v>
      </c>
      <c r="C58" s="1" t="s">
        <v>5</v>
      </c>
      <c r="D58" s="1">
        <v>20</v>
      </c>
      <c r="E58" s="1">
        <v>10</v>
      </c>
      <c r="F58" s="6">
        <v>240</v>
      </c>
      <c r="G58" s="15">
        <f t="shared" si="4"/>
        <v>4.8</v>
      </c>
    </row>
    <row r="59" spans="1:7">
      <c r="B59" s="10" t="s">
        <v>10</v>
      </c>
      <c r="D59">
        <f>SUM(D49:D58)</f>
        <v>496</v>
      </c>
      <c r="E59" s="28">
        <f>SUM(E49:E58)</f>
        <v>329.2</v>
      </c>
      <c r="G59" s="9">
        <f>SUM(G49:G58)</f>
        <v>219.785</v>
      </c>
    </row>
    <row r="60" spans="1:7">
      <c r="F60" s="251" t="s">
        <v>28</v>
      </c>
      <c r="G60" s="246">
        <f>G59*3</f>
        <v>659.35500000000002</v>
      </c>
    </row>
    <row r="61" spans="1:7">
      <c r="F61" s="248" t="s">
        <v>14</v>
      </c>
      <c r="G61" s="248">
        <v>650</v>
      </c>
    </row>
    <row r="62" spans="1:7">
      <c r="B62" s="14" t="s">
        <v>47</v>
      </c>
    </row>
    <row r="63" spans="1:7" ht="36">
      <c r="A63" s="4" t="s">
        <v>12</v>
      </c>
      <c r="B63" s="4" t="s">
        <v>0</v>
      </c>
      <c r="C63" s="4" t="s">
        <v>1</v>
      </c>
      <c r="D63" s="4" t="s">
        <v>2</v>
      </c>
      <c r="E63" s="4" t="s">
        <v>3</v>
      </c>
      <c r="F63" s="5" t="s">
        <v>39</v>
      </c>
      <c r="G63" s="5" t="s">
        <v>15</v>
      </c>
    </row>
    <row r="64" spans="1:7">
      <c r="A64" s="2">
        <v>1</v>
      </c>
      <c r="B64" s="1" t="s">
        <v>41</v>
      </c>
      <c r="C64" s="1" t="s">
        <v>5</v>
      </c>
      <c r="D64" s="1">
        <v>30</v>
      </c>
      <c r="E64" s="1">
        <v>30</v>
      </c>
      <c r="F64" s="6">
        <v>600</v>
      </c>
      <c r="G64" s="15">
        <f>D64*F64/1000</f>
        <v>18</v>
      </c>
    </row>
    <row r="65" spans="1:7">
      <c r="A65" s="2">
        <v>2</v>
      </c>
      <c r="B65" s="1" t="s">
        <v>42</v>
      </c>
      <c r="C65" s="1" t="s">
        <v>187</v>
      </c>
      <c r="D65" s="1">
        <v>2</v>
      </c>
      <c r="E65" s="1">
        <v>100</v>
      </c>
      <c r="F65" s="6">
        <v>8</v>
      </c>
      <c r="G65" s="15">
        <f>F65*2</f>
        <v>16</v>
      </c>
    </row>
    <row r="66" spans="1:7">
      <c r="A66" s="2">
        <v>3</v>
      </c>
      <c r="B66" s="1" t="s">
        <v>150</v>
      </c>
      <c r="C66" s="1" t="s">
        <v>5</v>
      </c>
      <c r="D66" s="1">
        <v>50</v>
      </c>
      <c r="E66" s="1">
        <v>40</v>
      </c>
      <c r="F66" s="6">
        <v>185</v>
      </c>
      <c r="G66" s="15">
        <f t="shared" ref="G66:G73" si="5">D66*F66/1000</f>
        <v>9.25</v>
      </c>
    </row>
    <row r="67" spans="1:7">
      <c r="A67" s="2">
        <v>4</v>
      </c>
      <c r="B67" s="1" t="s">
        <v>35</v>
      </c>
      <c r="C67" s="1" t="s">
        <v>5</v>
      </c>
      <c r="D67" s="1">
        <v>50</v>
      </c>
      <c r="E67" s="1">
        <v>40</v>
      </c>
      <c r="F67" s="6">
        <v>175</v>
      </c>
      <c r="G67" s="15">
        <f t="shared" si="5"/>
        <v>8.75</v>
      </c>
    </row>
    <row r="68" spans="1:7">
      <c r="A68" s="2">
        <v>5</v>
      </c>
      <c r="B68" s="1" t="s">
        <v>43</v>
      </c>
      <c r="C68" s="1" t="s">
        <v>5</v>
      </c>
      <c r="D68" s="1">
        <v>40</v>
      </c>
      <c r="E68" s="1">
        <v>30</v>
      </c>
      <c r="F68" s="6">
        <v>1200</v>
      </c>
      <c r="G68" s="15">
        <f t="shared" si="5"/>
        <v>48</v>
      </c>
    </row>
    <row r="69" spans="1:7">
      <c r="A69" s="2">
        <v>6</v>
      </c>
      <c r="B69" s="1" t="s">
        <v>25</v>
      </c>
      <c r="C69" s="1" t="s">
        <v>5</v>
      </c>
      <c r="D69" s="1">
        <v>20</v>
      </c>
      <c r="E69" s="1">
        <v>20</v>
      </c>
      <c r="F69" s="6">
        <v>350</v>
      </c>
      <c r="G69" s="15">
        <f t="shared" si="5"/>
        <v>7</v>
      </c>
    </row>
    <row r="70" spans="1:7">
      <c r="A70" s="2">
        <v>7</v>
      </c>
      <c r="B70" s="1" t="s">
        <v>9</v>
      </c>
      <c r="C70" s="1" t="s">
        <v>5</v>
      </c>
      <c r="D70" s="1">
        <v>15</v>
      </c>
      <c r="E70" s="1">
        <v>10</v>
      </c>
      <c r="F70" s="6">
        <v>950</v>
      </c>
      <c r="G70" s="15">
        <f t="shared" si="5"/>
        <v>14.25</v>
      </c>
    </row>
    <row r="71" spans="1:7">
      <c r="A71" s="2">
        <v>8</v>
      </c>
      <c r="B71" s="1" t="s">
        <v>44</v>
      </c>
      <c r="C71" s="1" t="s">
        <v>5</v>
      </c>
      <c r="D71" s="1">
        <v>20</v>
      </c>
      <c r="E71" s="1">
        <v>20</v>
      </c>
      <c r="F71" s="6">
        <v>1200</v>
      </c>
      <c r="G71" s="15">
        <f t="shared" si="5"/>
        <v>24</v>
      </c>
    </row>
    <row r="72" spans="1:7">
      <c r="A72" s="2">
        <v>9</v>
      </c>
      <c r="B72" s="1" t="s">
        <v>45</v>
      </c>
      <c r="C72" s="1" t="s">
        <v>5</v>
      </c>
      <c r="D72" s="1">
        <v>20</v>
      </c>
      <c r="E72" s="1">
        <v>20</v>
      </c>
      <c r="F72" s="6">
        <v>350</v>
      </c>
      <c r="G72" s="15">
        <f t="shared" si="5"/>
        <v>7</v>
      </c>
    </row>
    <row r="73" spans="1:7">
      <c r="A73" s="2">
        <v>10</v>
      </c>
      <c r="B73" s="1" t="s">
        <v>46</v>
      </c>
      <c r="C73" s="1" t="s">
        <v>5</v>
      </c>
      <c r="D73" s="1">
        <v>50</v>
      </c>
      <c r="E73" s="1">
        <v>50</v>
      </c>
      <c r="F73" s="6">
        <v>350</v>
      </c>
      <c r="G73" s="15">
        <f t="shared" si="5"/>
        <v>17.5</v>
      </c>
    </row>
    <row r="74" spans="1:7">
      <c r="B74" s="10" t="s">
        <v>10</v>
      </c>
      <c r="D74">
        <f>SUM(D64:D73)</f>
        <v>297</v>
      </c>
      <c r="E74" s="17">
        <f>SUM(E64:E73)</f>
        <v>360</v>
      </c>
      <c r="G74" s="9">
        <f>SUM(G64:G73)</f>
        <v>169.75</v>
      </c>
    </row>
    <row r="75" spans="1:7">
      <c r="F75" s="11" t="s">
        <v>28</v>
      </c>
      <c r="G75" s="12">
        <f>G74*3</f>
        <v>509.25</v>
      </c>
    </row>
    <row r="76" spans="1:7">
      <c r="F76" s="13" t="s">
        <v>14</v>
      </c>
      <c r="G76" s="13">
        <v>500</v>
      </c>
    </row>
    <row r="77" spans="1:7">
      <c r="B77" s="14" t="s">
        <v>54</v>
      </c>
    </row>
    <row r="78" spans="1:7" ht="36">
      <c r="A78" s="4" t="s">
        <v>12</v>
      </c>
      <c r="B78" s="4" t="s">
        <v>0</v>
      </c>
      <c r="C78" s="4" t="s">
        <v>1</v>
      </c>
      <c r="D78" s="4" t="s">
        <v>2</v>
      </c>
      <c r="E78" s="4" t="s">
        <v>3</v>
      </c>
      <c r="F78" s="5" t="s">
        <v>39</v>
      </c>
      <c r="G78" s="5" t="s">
        <v>15</v>
      </c>
    </row>
    <row r="79" spans="1:7">
      <c r="A79" s="2">
        <v>1</v>
      </c>
      <c r="B79" s="1" t="s">
        <v>48</v>
      </c>
      <c r="C79" s="1" t="s">
        <v>5</v>
      </c>
      <c r="D79" s="1">
        <v>60</v>
      </c>
      <c r="E79" s="1">
        <v>60</v>
      </c>
      <c r="F79" s="6">
        <v>210</v>
      </c>
      <c r="G79" s="15">
        <f>D79*F79/1000</f>
        <v>12.6</v>
      </c>
    </row>
    <row r="80" spans="1:7">
      <c r="A80" s="2">
        <v>2</v>
      </c>
      <c r="B80" s="1" t="s">
        <v>49</v>
      </c>
      <c r="C80" s="1" t="s">
        <v>5</v>
      </c>
      <c r="D80" s="1">
        <v>50</v>
      </c>
      <c r="E80" s="1">
        <v>50</v>
      </c>
      <c r="F80" s="6">
        <v>8</v>
      </c>
      <c r="G80" s="15">
        <f>F80</f>
        <v>8</v>
      </c>
    </row>
    <row r="81" spans="1:7">
      <c r="A81" s="2">
        <v>3</v>
      </c>
      <c r="B81" s="1" t="s">
        <v>50</v>
      </c>
      <c r="C81" s="1" t="s">
        <v>5</v>
      </c>
      <c r="D81" s="1">
        <v>30</v>
      </c>
      <c r="E81" s="1">
        <v>20</v>
      </c>
      <c r="F81" s="6">
        <v>850</v>
      </c>
      <c r="G81" s="15">
        <f t="shared" ref="G81:G86" si="6">D81*F81/1000</f>
        <v>25.5</v>
      </c>
    </row>
    <row r="82" spans="1:7">
      <c r="A82" s="2">
        <v>4</v>
      </c>
      <c r="B82" s="1" t="s">
        <v>51</v>
      </c>
      <c r="C82" s="1" t="s">
        <v>5</v>
      </c>
      <c r="D82" s="1">
        <v>20</v>
      </c>
      <c r="E82" s="1">
        <v>20</v>
      </c>
      <c r="F82" s="6">
        <v>2500</v>
      </c>
      <c r="G82" s="15">
        <f t="shared" si="6"/>
        <v>50</v>
      </c>
    </row>
    <row r="83" spans="1:7">
      <c r="A83" s="2">
        <v>5</v>
      </c>
      <c r="B83" s="1" t="s">
        <v>724</v>
      </c>
      <c r="C83" s="1" t="s">
        <v>5</v>
      </c>
      <c r="D83" s="1">
        <v>10</v>
      </c>
      <c r="E83" s="1">
        <v>10</v>
      </c>
      <c r="F83" s="6">
        <v>950</v>
      </c>
      <c r="G83" s="15">
        <f t="shared" si="6"/>
        <v>9.5</v>
      </c>
    </row>
    <row r="84" spans="1:7">
      <c r="A84" s="2">
        <v>6</v>
      </c>
      <c r="B84" s="1" t="s">
        <v>37</v>
      </c>
      <c r="C84" s="1" t="s">
        <v>5</v>
      </c>
      <c r="D84" s="1">
        <v>30</v>
      </c>
      <c r="E84" s="1">
        <v>10</v>
      </c>
      <c r="F84" s="6">
        <v>180</v>
      </c>
      <c r="G84" s="15">
        <f t="shared" si="6"/>
        <v>5.4</v>
      </c>
    </row>
    <row r="85" spans="1:7">
      <c r="A85" s="2">
        <v>7</v>
      </c>
      <c r="B85" s="1" t="s">
        <v>8</v>
      </c>
      <c r="C85" s="1" t="s">
        <v>5</v>
      </c>
      <c r="D85" s="1">
        <v>1</v>
      </c>
      <c r="E85" s="1">
        <v>1</v>
      </c>
      <c r="F85" s="6">
        <v>10</v>
      </c>
      <c r="G85" s="15">
        <v>1</v>
      </c>
    </row>
    <row r="86" spans="1:7">
      <c r="A86" s="2">
        <v>8</v>
      </c>
      <c r="B86" s="1" t="s">
        <v>53</v>
      </c>
      <c r="C86" s="1" t="s">
        <v>5</v>
      </c>
      <c r="D86" s="1">
        <v>30</v>
      </c>
      <c r="E86" s="1">
        <v>30</v>
      </c>
      <c r="F86" s="6">
        <v>1000</v>
      </c>
      <c r="G86" s="15">
        <f t="shared" si="6"/>
        <v>30</v>
      </c>
    </row>
    <row r="87" spans="1:7">
      <c r="B87" s="10" t="s">
        <v>10</v>
      </c>
      <c r="D87">
        <f>SUM(D79:D86)</f>
        <v>231</v>
      </c>
      <c r="E87" s="17">
        <f>SUM(E79:E86)</f>
        <v>201</v>
      </c>
      <c r="G87" s="3">
        <f>SUM(G79:G86)</f>
        <v>142</v>
      </c>
    </row>
    <row r="88" spans="1:7">
      <c r="F88" s="11" t="s">
        <v>28</v>
      </c>
      <c r="G88" s="12">
        <f>G87*3</f>
        <v>426</v>
      </c>
    </row>
    <row r="89" spans="1:7">
      <c r="F89" s="13" t="s">
        <v>14</v>
      </c>
      <c r="G89" s="13">
        <v>400</v>
      </c>
    </row>
    <row r="90" spans="1:7">
      <c r="B90" s="14" t="s">
        <v>59</v>
      </c>
    </row>
    <row r="91" spans="1:7" ht="36">
      <c r="A91" s="4" t="s">
        <v>12</v>
      </c>
      <c r="B91" s="4" t="s">
        <v>0</v>
      </c>
      <c r="C91" s="4" t="s">
        <v>1</v>
      </c>
      <c r="D91" s="4" t="s">
        <v>2</v>
      </c>
      <c r="E91" s="4" t="s">
        <v>3</v>
      </c>
      <c r="F91" s="5" t="s">
        <v>39</v>
      </c>
      <c r="G91" s="5" t="s">
        <v>15</v>
      </c>
    </row>
    <row r="92" spans="1:7">
      <c r="A92" s="2">
        <v>1</v>
      </c>
      <c r="B92" s="1" t="s">
        <v>726</v>
      </c>
      <c r="C92" s="1" t="s">
        <v>5</v>
      </c>
      <c r="D92" s="1">
        <v>50</v>
      </c>
      <c r="E92" s="1">
        <v>50</v>
      </c>
      <c r="F92" s="6">
        <v>150</v>
      </c>
      <c r="G92" s="15">
        <f>D92*F92/1000</f>
        <v>7.5</v>
      </c>
    </row>
    <row r="93" spans="1:7">
      <c r="A93" s="2">
        <v>2</v>
      </c>
      <c r="B93" s="1" t="s">
        <v>727</v>
      </c>
      <c r="C93" s="1" t="s">
        <v>5</v>
      </c>
      <c r="D93" s="1">
        <v>50</v>
      </c>
      <c r="E93" s="1">
        <v>47</v>
      </c>
      <c r="F93" s="6">
        <v>160</v>
      </c>
      <c r="G93" s="15">
        <f t="shared" ref="G93:G102" si="7">D93*F93/1000</f>
        <v>8</v>
      </c>
    </row>
    <row r="94" spans="1:7">
      <c r="A94" s="2">
        <v>3</v>
      </c>
      <c r="B94" s="1" t="s">
        <v>728</v>
      </c>
      <c r="C94" s="1" t="s">
        <v>5</v>
      </c>
      <c r="D94" s="1">
        <v>60</v>
      </c>
      <c r="E94" s="1">
        <v>50</v>
      </c>
      <c r="F94" s="6">
        <v>2100</v>
      </c>
      <c r="G94" s="15">
        <f t="shared" si="7"/>
        <v>126</v>
      </c>
    </row>
    <row r="95" spans="1:7">
      <c r="A95" s="2">
        <v>4</v>
      </c>
      <c r="B95" s="1" t="s">
        <v>32</v>
      </c>
      <c r="C95" s="1" t="s">
        <v>5</v>
      </c>
      <c r="D95" s="1">
        <v>30</v>
      </c>
      <c r="E95" s="1">
        <v>30</v>
      </c>
      <c r="F95" s="6">
        <v>1000</v>
      </c>
      <c r="G95" s="15">
        <f t="shared" si="7"/>
        <v>30</v>
      </c>
    </row>
    <row r="96" spans="1:7">
      <c r="A96" s="2">
        <v>5</v>
      </c>
      <c r="B96" s="1" t="s">
        <v>55</v>
      </c>
      <c r="C96" s="1" t="s">
        <v>5</v>
      </c>
      <c r="D96" s="1">
        <v>10</v>
      </c>
      <c r="E96" s="1">
        <v>10</v>
      </c>
      <c r="F96" s="6">
        <v>1500</v>
      </c>
      <c r="G96" s="15">
        <f t="shared" si="7"/>
        <v>15</v>
      </c>
    </row>
    <row r="97" spans="1:8">
      <c r="A97" s="2">
        <v>7</v>
      </c>
      <c r="B97" s="1" t="s">
        <v>56</v>
      </c>
      <c r="C97" s="1" t="s">
        <v>5</v>
      </c>
      <c r="D97" s="1">
        <v>30</v>
      </c>
      <c r="E97" s="1">
        <v>30</v>
      </c>
      <c r="F97" s="6">
        <v>850</v>
      </c>
      <c r="G97" s="15">
        <f t="shared" si="7"/>
        <v>25.5</v>
      </c>
    </row>
    <row r="98" spans="1:8">
      <c r="A98" s="2">
        <v>8</v>
      </c>
      <c r="B98" s="1" t="s">
        <v>57</v>
      </c>
      <c r="C98" s="1" t="s">
        <v>5</v>
      </c>
      <c r="D98" s="1">
        <v>100</v>
      </c>
      <c r="E98" s="1">
        <v>80</v>
      </c>
      <c r="F98" s="6">
        <v>8</v>
      </c>
      <c r="G98" s="15">
        <f>F98*2</f>
        <v>16</v>
      </c>
    </row>
    <row r="99" spans="1:8">
      <c r="A99" s="2">
        <v>9</v>
      </c>
      <c r="B99" s="1" t="s">
        <v>58</v>
      </c>
      <c r="C99" s="1" t="s">
        <v>5</v>
      </c>
      <c r="D99" s="1">
        <v>10</v>
      </c>
      <c r="E99" s="1">
        <v>10</v>
      </c>
      <c r="F99" s="6">
        <v>70</v>
      </c>
      <c r="G99" s="15">
        <f t="shared" si="7"/>
        <v>0.7</v>
      </c>
    </row>
    <row r="100" spans="1:8">
      <c r="A100" s="2">
        <v>10</v>
      </c>
      <c r="B100" s="1" t="s">
        <v>37</v>
      </c>
      <c r="C100" s="1" t="s">
        <v>5</v>
      </c>
      <c r="D100" s="1">
        <v>5</v>
      </c>
      <c r="E100" s="1">
        <v>5</v>
      </c>
      <c r="F100" s="6">
        <v>126</v>
      </c>
      <c r="G100" s="15">
        <f t="shared" si="7"/>
        <v>0.63</v>
      </c>
    </row>
    <row r="101" spans="1:8">
      <c r="A101" s="2">
        <v>11</v>
      </c>
      <c r="B101" s="1" t="s">
        <v>8</v>
      </c>
      <c r="C101" s="1" t="s">
        <v>5</v>
      </c>
      <c r="D101" s="1">
        <v>1</v>
      </c>
      <c r="E101" s="1">
        <v>1</v>
      </c>
      <c r="F101" s="6">
        <v>10</v>
      </c>
      <c r="G101" s="15">
        <f t="shared" si="7"/>
        <v>0.01</v>
      </c>
    </row>
    <row r="102" spans="1:8">
      <c r="A102" s="2">
        <v>12</v>
      </c>
      <c r="B102" s="1" t="s">
        <v>38</v>
      </c>
      <c r="C102" s="1" t="s">
        <v>5</v>
      </c>
      <c r="D102" s="1">
        <v>10</v>
      </c>
      <c r="E102" s="1">
        <v>10</v>
      </c>
      <c r="F102" s="6">
        <v>120</v>
      </c>
      <c r="G102" s="15">
        <f t="shared" si="7"/>
        <v>1.2</v>
      </c>
    </row>
    <row r="103" spans="1:8">
      <c r="B103" s="10" t="s">
        <v>10</v>
      </c>
      <c r="D103">
        <f>SUM(D92:D102)</f>
        <v>356</v>
      </c>
      <c r="E103" s="29">
        <f>SUM(E92:E102)</f>
        <v>323</v>
      </c>
      <c r="G103" s="9">
        <f>SUM(G92:G102)</f>
        <v>230.53999999999996</v>
      </c>
    </row>
    <row r="104" spans="1:8">
      <c r="F104" s="251" t="s">
        <v>28</v>
      </c>
      <c r="G104" s="246">
        <f>G103*3</f>
        <v>691.61999999999989</v>
      </c>
    </row>
    <row r="105" spans="1:8">
      <c r="F105" s="248" t="s">
        <v>14</v>
      </c>
      <c r="G105" s="248">
        <v>700</v>
      </c>
    </row>
    <row r="106" spans="1:8">
      <c r="B106" s="14" t="s">
        <v>184</v>
      </c>
    </row>
    <row r="107" spans="1:8" ht="36">
      <c r="A107" s="1" t="s">
        <v>12</v>
      </c>
      <c r="B107" s="1" t="s">
        <v>0</v>
      </c>
      <c r="C107" s="1" t="s">
        <v>1</v>
      </c>
      <c r="D107" s="1" t="s">
        <v>2</v>
      </c>
      <c r="E107" s="1" t="s">
        <v>3</v>
      </c>
      <c r="F107" s="5" t="s">
        <v>39</v>
      </c>
      <c r="G107" s="5" t="s">
        <v>15</v>
      </c>
    </row>
    <row r="108" spans="1:8">
      <c r="A108" s="2">
        <v>1</v>
      </c>
      <c r="B108" s="1" t="s">
        <v>61</v>
      </c>
      <c r="C108" s="1" t="s">
        <v>5</v>
      </c>
      <c r="D108" s="1">
        <v>120</v>
      </c>
      <c r="E108" s="1">
        <v>120</v>
      </c>
      <c r="F108" s="6">
        <v>650</v>
      </c>
      <c r="G108" s="15">
        <f>D108*F108/1000</f>
        <v>78</v>
      </c>
    </row>
    <row r="109" spans="1:8">
      <c r="A109" s="2">
        <v>2</v>
      </c>
      <c r="B109" s="1" t="s">
        <v>62</v>
      </c>
      <c r="C109" s="1" t="s">
        <v>5</v>
      </c>
      <c r="D109" s="1">
        <v>30</v>
      </c>
      <c r="E109" s="1">
        <v>30</v>
      </c>
      <c r="F109" s="6">
        <v>400</v>
      </c>
      <c r="G109" s="15">
        <f t="shared" ref="G109:G117" si="8">D109*F109/1000</f>
        <v>12</v>
      </c>
    </row>
    <row r="110" spans="1:8">
      <c r="A110" s="2">
        <v>3</v>
      </c>
      <c r="B110" s="1" t="s">
        <v>63</v>
      </c>
      <c r="C110" s="1" t="s">
        <v>5</v>
      </c>
      <c r="D110" s="1">
        <v>50</v>
      </c>
      <c r="E110" s="1">
        <v>41</v>
      </c>
      <c r="F110" s="6">
        <v>200</v>
      </c>
      <c r="G110" s="15">
        <f t="shared" si="8"/>
        <v>10</v>
      </c>
      <c r="H110" s="27">
        <v>0.18</v>
      </c>
    </row>
    <row r="111" spans="1:8">
      <c r="A111" s="2">
        <v>4</v>
      </c>
      <c r="B111" s="1" t="s">
        <v>64</v>
      </c>
      <c r="C111" s="1" t="s">
        <v>5</v>
      </c>
      <c r="D111" s="1">
        <v>20</v>
      </c>
      <c r="E111" s="1"/>
      <c r="F111" s="6">
        <v>8</v>
      </c>
      <c r="G111" s="15">
        <f>F111</f>
        <v>8</v>
      </c>
    </row>
    <row r="112" spans="1:8">
      <c r="A112" s="2">
        <v>5</v>
      </c>
      <c r="B112" s="1" t="s">
        <v>65</v>
      </c>
      <c r="C112" s="1" t="s">
        <v>5</v>
      </c>
      <c r="D112" s="1">
        <v>20</v>
      </c>
      <c r="E112" s="1"/>
      <c r="F112" s="6">
        <v>250</v>
      </c>
      <c r="G112" s="15">
        <f t="shared" si="8"/>
        <v>5</v>
      </c>
    </row>
    <row r="113" spans="1:10">
      <c r="A113" s="2">
        <v>6</v>
      </c>
      <c r="B113" s="1" t="s">
        <v>66</v>
      </c>
      <c r="C113" s="1" t="s">
        <v>5</v>
      </c>
      <c r="D113" s="1">
        <v>10</v>
      </c>
      <c r="E113" s="1"/>
      <c r="F113" s="6">
        <v>250</v>
      </c>
      <c r="G113" s="15">
        <f t="shared" si="8"/>
        <v>2.5</v>
      </c>
    </row>
    <row r="114" spans="1:10">
      <c r="A114" s="2">
        <v>7</v>
      </c>
      <c r="B114" s="1" t="s">
        <v>9</v>
      </c>
      <c r="C114" s="1" t="s">
        <v>5</v>
      </c>
      <c r="D114" s="1">
        <v>5</v>
      </c>
      <c r="E114" s="1">
        <v>5</v>
      </c>
      <c r="F114" s="6">
        <v>950</v>
      </c>
      <c r="G114" s="15">
        <f t="shared" si="8"/>
        <v>4.75</v>
      </c>
    </row>
    <row r="115" spans="1:10">
      <c r="A115" s="2">
        <v>8</v>
      </c>
      <c r="B115" s="1" t="s">
        <v>67</v>
      </c>
      <c r="C115" s="1" t="s">
        <v>5</v>
      </c>
      <c r="D115" s="1">
        <v>5</v>
      </c>
      <c r="E115" s="1">
        <v>5</v>
      </c>
      <c r="F115" s="6">
        <v>750</v>
      </c>
      <c r="G115" s="15">
        <f t="shared" si="8"/>
        <v>3.75</v>
      </c>
    </row>
    <row r="116" spans="1:10">
      <c r="A116" s="2">
        <v>9</v>
      </c>
      <c r="B116" s="1" t="s">
        <v>46</v>
      </c>
      <c r="C116" s="1" t="s">
        <v>5</v>
      </c>
      <c r="D116" s="1">
        <v>50</v>
      </c>
      <c r="E116" s="1">
        <v>50</v>
      </c>
      <c r="F116" s="6">
        <v>350</v>
      </c>
      <c r="G116" s="15">
        <f t="shared" si="8"/>
        <v>17.5</v>
      </c>
    </row>
    <row r="117" spans="1:10">
      <c r="A117" s="2">
        <v>10</v>
      </c>
      <c r="B117" s="1" t="s">
        <v>68</v>
      </c>
      <c r="C117" s="1" t="s">
        <v>5</v>
      </c>
      <c r="D117" s="1">
        <v>1</v>
      </c>
      <c r="E117" s="1">
        <v>1</v>
      </c>
      <c r="F117" s="6">
        <v>450</v>
      </c>
      <c r="G117" s="15">
        <f t="shared" si="8"/>
        <v>0.45</v>
      </c>
    </row>
    <row r="118" spans="1:10">
      <c r="B118" s="10" t="s">
        <v>10</v>
      </c>
      <c r="D118">
        <f>SUM(D108:D117)</f>
        <v>311</v>
      </c>
      <c r="E118" s="29">
        <f>SUM(E108:E117)</f>
        <v>252</v>
      </c>
      <c r="G118" s="9">
        <f>SUM(G108:G117)</f>
        <v>141.94999999999999</v>
      </c>
    </row>
    <row r="119" spans="1:10">
      <c r="F119" s="251" t="s">
        <v>28</v>
      </c>
      <c r="G119" s="246">
        <f>G118*3</f>
        <v>425.84999999999997</v>
      </c>
    </row>
    <row r="120" spans="1:10">
      <c r="F120" s="248" t="s">
        <v>14</v>
      </c>
      <c r="G120" s="248">
        <v>400</v>
      </c>
    </row>
    <row r="121" spans="1:10">
      <c r="B121" s="14" t="s">
        <v>70</v>
      </c>
      <c r="D121" t="s">
        <v>185</v>
      </c>
    </row>
    <row r="122" spans="1:10" ht="36">
      <c r="A122" s="4" t="s">
        <v>12</v>
      </c>
      <c r="B122" s="4" t="s">
        <v>0</v>
      </c>
      <c r="C122" s="4" t="s">
        <v>1</v>
      </c>
      <c r="D122" s="4" t="s">
        <v>2</v>
      </c>
      <c r="E122" s="4" t="s">
        <v>3</v>
      </c>
      <c r="F122" s="5" t="s">
        <v>39</v>
      </c>
      <c r="G122" s="5" t="s">
        <v>15</v>
      </c>
    </row>
    <row r="123" spans="1:10">
      <c r="A123" s="1">
        <v>1</v>
      </c>
      <c r="B123" s="1" t="s">
        <v>61</v>
      </c>
      <c r="C123" s="1" t="s">
        <v>5</v>
      </c>
      <c r="D123" s="1">
        <v>80</v>
      </c>
      <c r="E123" s="1">
        <v>80</v>
      </c>
      <c r="F123" s="6">
        <v>650</v>
      </c>
      <c r="G123" s="15">
        <f>D123*F123/1000</f>
        <v>52</v>
      </c>
      <c r="H123" s="252"/>
      <c r="I123" s="252"/>
      <c r="J123" s="252"/>
    </row>
    <row r="124" spans="1:10">
      <c r="A124" s="1">
        <v>2</v>
      </c>
      <c r="B124" s="1" t="s">
        <v>62</v>
      </c>
      <c r="C124" s="1" t="s">
        <v>5</v>
      </c>
      <c r="D124" s="1">
        <v>50</v>
      </c>
      <c r="E124" s="1">
        <v>50</v>
      </c>
      <c r="F124" s="6">
        <v>400</v>
      </c>
      <c r="G124" s="15">
        <f t="shared" ref="G124:G128" si="9">D124*F124/1000</f>
        <v>20</v>
      </c>
    </row>
    <row r="125" spans="1:10">
      <c r="A125" s="1">
        <v>3</v>
      </c>
      <c r="B125" s="1" t="s">
        <v>69</v>
      </c>
      <c r="C125" s="1" t="s">
        <v>5</v>
      </c>
      <c r="D125" s="1">
        <v>90</v>
      </c>
      <c r="E125" s="1">
        <v>90</v>
      </c>
      <c r="F125" s="6">
        <v>350</v>
      </c>
      <c r="G125" s="15">
        <f t="shared" si="9"/>
        <v>31.5</v>
      </c>
    </row>
    <row r="126" spans="1:10">
      <c r="A126" s="1">
        <v>4</v>
      </c>
      <c r="B126" s="1" t="s">
        <v>66</v>
      </c>
      <c r="C126" s="1" t="s">
        <v>5</v>
      </c>
      <c r="D126" s="1">
        <v>10</v>
      </c>
      <c r="E126" s="1">
        <v>10</v>
      </c>
      <c r="F126" s="6">
        <v>150</v>
      </c>
      <c r="G126" s="15">
        <f t="shared" si="9"/>
        <v>1.5</v>
      </c>
    </row>
    <row r="127" spans="1:10">
      <c r="A127" s="1">
        <v>5</v>
      </c>
      <c r="B127" s="1" t="s">
        <v>46</v>
      </c>
      <c r="C127" s="1" t="s">
        <v>5</v>
      </c>
      <c r="D127" s="1">
        <v>50</v>
      </c>
      <c r="E127" s="1">
        <v>49</v>
      </c>
      <c r="F127" s="6">
        <v>350</v>
      </c>
      <c r="G127" s="15">
        <f t="shared" si="9"/>
        <v>17.5</v>
      </c>
    </row>
    <row r="128" spans="1:10">
      <c r="A128" s="1">
        <v>6</v>
      </c>
      <c r="B128" s="1" t="s">
        <v>68</v>
      </c>
      <c r="C128" s="1" t="s">
        <v>5</v>
      </c>
      <c r="D128" s="1">
        <v>1</v>
      </c>
      <c r="E128" s="1">
        <v>1</v>
      </c>
      <c r="F128" s="6">
        <v>250</v>
      </c>
      <c r="G128" s="15">
        <f t="shared" si="9"/>
        <v>0.25</v>
      </c>
    </row>
    <row r="129" spans="1:7">
      <c r="B129" s="10" t="s">
        <v>10</v>
      </c>
      <c r="D129">
        <f>SUM(D123:D128)</f>
        <v>281</v>
      </c>
      <c r="E129" s="29">
        <f>SUM(E123:E128)</f>
        <v>280</v>
      </c>
      <c r="G129" s="9">
        <f>SUM(G123:G128)</f>
        <v>122.75</v>
      </c>
    </row>
    <row r="130" spans="1:7">
      <c r="F130" s="251" t="s">
        <v>28</v>
      </c>
      <c r="G130" s="246">
        <f>G129*3</f>
        <v>368.25</v>
      </c>
    </row>
    <row r="131" spans="1:7">
      <c r="F131" s="248" t="s">
        <v>14</v>
      </c>
      <c r="G131" s="248">
        <v>300</v>
      </c>
    </row>
    <row r="132" spans="1:7">
      <c r="B132" s="14" t="s">
        <v>202</v>
      </c>
    </row>
    <row r="133" spans="1:7" ht="36">
      <c r="A133" s="4" t="s">
        <v>12</v>
      </c>
      <c r="B133" s="4" t="s">
        <v>0</v>
      </c>
      <c r="C133" s="4" t="s">
        <v>1</v>
      </c>
      <c r="D133" s="4" t="s">
        <v>2</v>
      </c>
      <c r="E133" s="4" t="s">
        <v>3</v>
      </c>
      <c r="F133" s="5" t="s">
        <v>39</v>
      </c>
      <c r="G133" s="5" t="s">
        <v>15</v>
      </c>
    </row>
    <row r="134" spans="1:7">
      <c r="A134" s="2">
        <v>1</v>
      </c>
      <c r="B134" s="1" t="s">
        <v>61</v>
      </c>
      <c r="C134" s="1" t="s">
        <v>5</v>
      </c>
      <c r="D134" s="1">
        <v>120</v>
      </c>
      <c r="E134" s="1">
        <v>120</v>
      </c>
      <c r="F134" s="6">
        <v>450</v>
      </c>
      <c r="G134" s="15">
        <f>D134*F134/1000</f>
        <v>54</v>
      </c>
    </row>
    <row r="135" spans="1:7">
      <c r="A135" s="2">
        <v>2</v>
      </c>
      <c r="B135" s="1" t="s">
        <v>62</v>
      </c>
      <c r="C135" s="1" t="s">
        <v>5</v>
      </c>
      <c r="D135" s="1">
        <v>50</v>
      </c>
      <c r="E135" s="1">
        <v>50</v>
      </c>
      <c r="F135" s="6">
        <v>400</v>
      </c>
      <c r="G135" s="15">
        <f t="shared" ref="G135:G141" si="10">D135*F135/1000</f>
        <v>20</v>
      </c>
    </row>
    <row r="136" spans="1:7">
      <c r="A136" s="2">
        <v>3</v>
      </c>
      <c r="B136" s="1" t="s">
        <v>63</v>
      </c>
      <c r="C136" s="1" t="s">
        <v>5</v>
      </c>
      <c r="D136" s="1">
        <v>40</v>
      </c>
      <c r="E136" s="1">
        <v>30</v>
      </c>
      <c r="F136" s="6">
        <v>200</v>
      </c>
      <c r="G136" s="15">
        <f t="shared" si="10"/>
        <v>8</v>
      </c>
    </row>
    <row r="137" spans="1:7">
      <c r="A137" s="2">
        <v>4</v>
      </c>
      <c r="B137" s="1" t="s">
        <v>73</v>
      </c>
      <c r="C137" s="1" t="s">
        <v>5</v>
      </c>
      <c r="D137" s="1">
        <v>40</v>
      </c>
      <c r="E137" s="1">
        <v>30</v>
      </c>
      <c r="F137" s="6">
        <v>100</v>
      </c>
      <c r="G137" s="15">
        <f t="shared" si="10"/>
        <v>4</v>
      </c>
    </row>
    <row r="138" spans="1:7">
      <c r="A138" s="2">
        <v>5</v>
      </c>
      <c r="B138" s="1" t="s">
        <v>74</v>
      </c>
      <c r="C138" s="1" t="s">
        <v>5</v>
      </c>
      <c r="D138" s="1">
        <v>10</v>
      </c>
      <c r="E138" s="1">
        <v>10</v>
      </c>
      <c r="F138" s="6">
        <v>1000</v>
      </c>
      <c r="G138" s="15">
        <f t="shared" si="10"/>
        <v>10</v>
      </c>
    </row>
    <row r="139" spans="1:7">
      <c r="A139" s="2">
        <v>6</v>
      </c>
      <c r="B139" s="1" t="s">
        <v>67</v>
      </c>
      <c r="C139" s="1" t="s">
        <v>5</v>
      </c>
      <c r="D139" s="1">
        <v>5</v>
      </c>
      <c r="E139" s="1">
        <v>5</v>
      </c>
      <c r="F139" s="6">
        <v>1000</v>
      </c>
      <c r="G139" s="15">
        <f t="shared" si="10"/>
        <v>5</v>
      </c>
    </row>
    <row r="140" spans="1:7">
      <c r="A140" s="2">
        <v>7</v>
      </c>
      <c r="B140" s="1" t="s">
        <v>46</v>
      </c>
      <c r="C140" s="1" t="s">
        <v>5</v>
      </c>
      <c r="D140" s="1">
        <v>5</v>
      </c>
      <c r="E140" s="1">
        <v>4</v>
      </c>
      <c r="F140" s="6">
        <v>350</v>
      </c>
      <c r="G140" s="15">
        <f t="shared" si="10"/>
        <v>1.75</v>
      </c>
    </row>
    <row r="141" spans="1:7">
      <c r="A141" s="2">
        <v>8</v>
      </c>
      <c r="B141" s="1" t="s">
        <v>68</v>
      </c>
      <c r="C141" s="1" t="s">
        <v>5</v>
      </c>
      <c r="D141" s="1">
        <v>1</v>
      </c>
      <c r="E141" s="1">
        <v>1</v>
      </c>
      <c r="F141" s="6">
        <v>250</v>
      </c>
      <c r="G141" s="15">
        <f t="shared" si="10"/>
        <v>0.25</v>
      </c>
    </row>
    <row r="142" spans="1:7">
      <c r="B142" s="10" t="s">
        <v>10</v>
      </c>
      <c r="D142">
        <f>SUM(D134:D141)</f>
        <v>271</v>
      </c>
      <c r="E142" s="29">
        <f>SUM(E134:E141)</f>
        <v>250</v>
      </c>
      <c r="G142" s="9">
        <f>SUM(G134:G141)</f>
        <v>103</v>
      </c>
    </row>
    <row r="143" spans="1:7">
      <c r="F143" s="11" t="s">
        <v>28</v>
      </c>
      <c r="G143" s="12">
        <f>G142*3</f>
        <v>309</v>
      </c>
    </row>
    <row r="144" spans="1:7">
      <c r="F144" s="13" t="s">
        <v>14</v>
      </c>
      <c r="G144" s="13">
        <v>300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G102"/>
  <sheetViews>
    <sheetView topLeftCell="A82" workbookViewId="0">
      <selection activeCell="A98" sqref="A98:G99"/>
    </sheetView>
  </sheetViews>
  <sheetFormatPr defaultRowHeight="15"/>
  <cols>
    <col min="1" max="1" width="4.28515625" customWidth="1"/>
    <col min="2" max="2" width="25" customWidth="1"/>
    <col min="6" max="6" width="14.42578125" customWidth="1"/>
  </cols>
  <sheetData>
    <row r="1" spans="1:7">
      <c r="B1" s="14" t="s">
        <v>79</v>
      </c>
    </row>
    <row r="2" spans="1:7" ht="36">
      <c r="A2" s="1" t="s">
        <v>12</v>
      </c>
      <c r="B2" s="1" t="s">
        <v>0</v>
      </c>
      <c r="C2" s="1" t="s">
        <v>1</v>
      </c>
      <c r="D2" s="1" t="s">
        <v>2</v>
      </c>
      <c r="E2" s="1" t="s">
        <v>3</v>
      </c>
      <c r="F2" s="5" t="s">
        <v>39</v>
      </c>
      <c r="G2" s="5" t="s">
        <v>15</v>
      </c>
    </row>
    <row r="3" spans="1:7">
      <c r="A3" s="2">
        <v>1</v>
      </c>
      <c r="B3" s="1" t="s">
        <v>737</v>
      </c>
      <c r="C3" s="1" t="s">
        <v>5</v>
      </c>
      <c r="D3" s="1">
        <v>25</v>
      </c>
      <c r="E3" s="1">
        <v>23</v>
      </c>
      <c r="F3" s="1">
        <v>250</v>
      </c>
      <c r="G3" s="1">
        <f>D3*F3/1000</f>
        <v>6.25</v>
      </c>
    </row>
    <row r="4" spans="1:7">
      <c r="A4" s="2">
        <v>2</v>
      </c>
      <c r="B4" s="1" t="s">
        <v>75</v>
      </c>
      <c r="C4" s="1" t="s">
        <v>5</v>
      </c>
      <c r="D4" s="18">
        <v>50</v>
      </c>
      <c r="E4" s="18">
        <v>40</v>
      </c>
      <c r="F4" s="18">
        <v>2100</v>
      </c>
      <c r="G4" s="18">
        <f t="shared" ref="G4:G9" si="0">D4*F4/1000</f>
        <v>105</v>
      </c>
    </row>
    <row r="5" spans="1:7">
      <c r="A5" s="2">
        <v>3</v>
      </c>
      <c r="B5" s="1" t="s">
        <v>36</v>
      </c>
      <c r="C5" s="1" t="s">
        <v>5</v>
      </c>
      <c r="D5" s="1">
        <v>30</v>
      </c>
      <c r="E5" s="1">
        <v>30</v>
      </c>
      <c r="F5" s="1">
        <v>850</v>
      </c>
      <c r="G5" s="1">
        <f t="shared" si="0"/>
        <v>25.5</v>
      </c>
    </row>
    <row r="6" spans="1:7">
      <c r="A6" s="2">
        <v>4</v>
      </c>
      <c r="B6" s="1" t="s">
        <v>38</v>
      </c>
      <c r="C6" s="1" t="s">
        <v>5</v>
      </c>
      <c r="D6" s="1">
        <v>15</v>
      </c>
      <c r="E6" s="1">
        <v>12</v>
      </c>
      <c r="F6" s="1">
        <v>150</v>
      </c>
      <c r="G6" s="1">
        <f t="shared" si="0"/>
        <v>2.25</v>
      </c>
    </row>
    <row r="7" spans="1:7">
      <c r="A7" s="2">
        <v>5</v>
      </c>
      <c r="B7" s="1" t="s">
        <v>76</v>
      </c>
      <c r="C7" s="1" t="s">
        <v>5</v>
      </c>
      <c r="D7" s="1">
        <v>5</v>
      </c>
      <c r="E7" s="1">
        <v>3</v>
      </c>
      <c r="F7" s="1">
        <v>1000</v>
      </c>
      <c r="G7" s="1">
        <f t="shared" si="0"/>
        <v>5</v>
      </c>
    </row>
    <row r="8" spans="1:7">
      <c r="A8" s="2">
        <v>6</v>
      </c>
      <c r="B8" s="1" t="s">
        <v>77</v>
      </c>
      <c r="C8" s="1" t="s">
        <v>5</v>
      </c>
      <c r="D8" s="1">
        <v>2</v>
      </c>
      <c r="E8" s="1">
        <v>2</v>
      </c>
      <c r="F8" s="1">
        <v>150</v>
      </c>
      <c r="G8" s="1">
        <f t="shared" si="0"/>
        <v>0.3</v>
      </c>
    </row>
    <row r="9" spans="1:7">
      <c r="A9" s="2">
        <v>7</v>
      </c>
      <c r="B9" s="1" t="s">
        <v>78</v>
      </c>
      <c r="C9" s="1" t="s">
        <v>5</v>
      </c>
      <c r="D9" s="1"/>
      <c r="E9" s="1"/>
      <c r="F9" s="1">
        <v>1000</v>
      </c>
      <c r="G9" s="1">
        <f t="shared" si="0"/>
        <v>0</v>
      </c>
    </row>
    <row r="10" spans="1:7">
      <c r="B10" t="s">
        <v>10</v>
      </c>
      <c r="D10">
        <f>SUM(D3:D9)</f>
        <v>127</v>
      </c>
      <c r="E10" s="29">
        <f>SUM(E3:E9)</f>
        <v>110</v>
      </c>
      <c r="F10" s="3"/>
      <c r="G10" s="9">
        <f>SUM(G2:G9)</f>
        <v>144.30000000000001</v>
      </c>
    </row>
    <row r="11" spans="1:7" ht="12.6" customHeight="1">
      <c r="F11" s="251" t="s">
        <v>28</v>
      </c>
      <c r="G11" s="246">
        <f>G10*3</f>
        <v>432.90000000000003</v>
      </c>
    </row>
    <row r="12" spans="1:7" ht="12.6" customHeight="1">
      <c r="F12" s="248" t="s">
        <v>14</v>
      </c>
      <c r="G12" s="248">
        <v>460</v>
      </c>
    </row>
    <row r="13" spans="1:7">
      <c r="B13" s="14" t="s">
        <v>82</v>
      </c>
    </row>
    <row r="14" spans="1:7" ht="36">
      <c r="A14" s="4" t="s">
        <v>12</v>
      </c>
      <c r="B14" s="4" t="s">
        <v>0</v>
      </c>
      <c r="C14" s="4" t="s">
        <v>1</v>
      </c>
      <c r="D14" s="4" t="s">
        <v>2</v>
      </c>
      <c r="E14" s="4" t="s">
        <v>3</v>
      </c>
      <c r="F14" s="5" t="s">
        <v>39</v>
      </c>
      <c r="G14" s="5" t="s">
        <v>15</v>
      </c>
    </row>
    <row r="15" spans="1:7">
      <c r="A15" s="2">
        <v>1</v>
      </c>
      <c r="B15" s="1" t="s">
        <v>737</v>
      </c>
      <c r="C15" s="1" t="s">
        <v>5</v>
      </c>
      <c r="D15" s="1">
        <v>25</v>
      </c>
      <c r="E15" s="1">
        <v>23</v>
      </c>
      <c r="F15" s="6">
        <v>250</v>
      </c>
      <c r="G15" s="15">
        <f>D15*F15/1000</f>
        <v>6.25</v>
      </c>
    </row>
    <row r="16" spans="1:7">
      <c r="A16" s="2">
        <v>2</v>
      </c>
      <c r="B16" s="1" t="s">
        <v>80</v>
      </c>
      <c r="C16" s="1" t="s">
        <v>5</v>
      </c>
      <c r="D16" s="1">
        <v>100</v>
      </c>
      <c r="E16" s="1">
        <v>100</v>
      </c>
      <c r="F16" s="6">
        <v>1000</v>
      </c>
      <c r="G16" s="15">
        <f t="shared" ref="G16:G19" si="1">D16*F16/1000</f>
        <v>100</v>
      </c>
    </row>
    <row r="17" spans="1:7">
      <c r="A17" s="2">
        <v>3</v>
      </c>
      <c r="B17" s="1" t="s">
        <v>81</v>
      </c>
      <c r="C17" s="1" t="s">
        <v>5</v>
      </c>
      <c r="D17" s="1">
        <v>5</v>
      </c>
      <c r="E17" s="1">
        <v>5</v>
      </c>
      <c r="F17" s="6">
        <v>1000</v>
      </c>
      <c r="G17" s="15">
        <f>D17*F17/1000</f>
        <v>5</v>
      </c>
    </row>
    <row r="18" spans="1:7">
      <c r="A18" s="2">
        <v>4</v>
      </c>
      <c r="B18" s="1" t="s">
        <v>77</v>
      </c>
      <c r="C18" s="1" t="s">
        <v>5</v>
      </c>
      <c r="D18" s="1">
        <v>2</v>
      </c>
      <c r="E18" s="1">
        <v>2</v>
      </c>
      <c r="F18" s="6">
        <v>250</v>
      </c>
      <c r="G18" s="15">
        <f t="shared" si="1"/>
        <v>0.5</v>
      </c>
    </row>
    <row r="19" spans="1:7">
      <c r="A19" s="2">
        <v>5</v>
      </c>
      <c r="B19" s="1" t="s">
        <v>78</v>
      </c>
      <c r="C19" s="1" t="s">
        <v>5</v>
      </c>
      <c r="D19" s="1">
        <v>0</v>
      </c>
      <c r="E19" s="1">
        <v>0</v>
      </c>
      <c r="F19" s="6">
        <v>1000</v>
      </c>
      <c r="G19" s="15">
        <f t="shared" si="1"/>
        <v>0</v>
      </c>
    </row>
    <row r="20" spans="1:7">
      <c r="B20" s="10" t="s">
        <v>10</v>
      </c>
      <c r="D20">
        <f>SUM(D15:D19)</f>
        <v>132</v>
      </c>
      <c r="E20" s="29">
        <f>SUM(E15:E19)</f>
        <v>130</v>
      </c>
      <c r="F20" s="3"/>
      <c r="G20" s="9">
        <f>SUM(G15:G19)</f>
        <v>111.75</v>
      </c>
    </row>
    <row r="21" spans="1:7">
      <c r="F21" s="251" t="s">
        <v>28</v>
      </c>
      <c r="G21" s="246">
        <f>G20*3</f>
        <v>335.25</v>
      </c>
    </row>
    <row r="22" spans="1:7">
      <c r="F22" s="248" t="s">
        <v>14</v>
      </c>
      <c r="G22" s="248">
        <v>330</v>
      </c>
    </row>
    <row r="23" spans="1:7">
      <c r="B23" s="14" t="s">
        <v>90</v>
      </c>
    </row>
    <row r="24" spans="1:7" ht="36">
      <c r="A24" s="4" t="s">
        <v>12</v>
      </c>
      <c r="B24" s="4" t="s">
        <v>0</v>
      </c>
      <c r="C24" s="4" t="s">
        <v>1</v>
      </c>
      <c r="D24" s="4" t="s">
        <v>2</v>
      </c>
      <c r="E24" s="4" t="s">
        <v>3</v>
      </c>
      <c r="F24" s="5" t="s">
        <v>39</v>
      </c>
      <c r="G24" s="5" t="s">
        <v>15</v>
      </c>
    </row>
    <row r="25" spans="1:7">
      <c r="A25" s="2">
        <v>1</v>
      </c>
      <c r="B25" s="1" t="s">
        <v>83</v>
      </c>
      <c r="C25" s="1" t="s">
        <v>5</v>
      </c>
      <c r="D25" s="1">
        <v>30</v>
      </c>
      <c r="E25" s="1">
        <v>30</v>
      </c>
      <c r="F25" s="1">
        <v>1000</v>
      </c>
      <c r="G25" s="1">
        <f>D25*F25/1000</f>
        <v>30</v>
      </c>
    </row>
    <row r="26" spans="1:7">
      <c r="A26" s="2">
        <v>2</v>
      </c>
      <c r="B26" s="1" t="s">
        <v>84</v>
      </c>
      <c r="C26" s="1" t="s">
        <v>5</v>
      </c>
      <c r="D26" s="1">
        <v>30</v>
      </c>
      <c r="E26" s="1">
        <v>30</v>
      </c>
      <c r="F26" s="1">
        <v>1000</v>
      </c>
      <c r="G26" s="1">
        <f t="shared" ref="G26:G33" si="2">D26*F26/1000</f>
        <v>30</v>
      </c>
    </row>
    <row r="27" spans="1:7">
      <c r="A27" s="2">
        <v>3</v>
      </c>
      <c r="B27" s="1" t="s">
        <v>52</v>
      </c>
      <c r="C27" s="1" t="s">
        <v>5</v>
      </c>
      <c r="D27" s="1">
        <v>30</v>
      </c>
      <c r="E27" s="1">
        <v>30</v>
      </c>
      <c r="F27" s="1">
        <v>1000</v>
      </c>
      <c r="G27" s="1">
        <f t="shared" si="2"/>
        <v>30</v>
      </c>
    </row>
    <row r="28" spans="1:7">
      <c r="A28" s="2">
        <v>4</v>
      </c>
      <c r="B28" s="1" t="s">
        <v>85</v>
      </c>
      <c r="C28" s="1" t="s">
        <v>5</v>
      </c>
      <c r="D28" s="1">
        <v>30</v>
      </c>
      <c r="E28" s="1">
        <v>30</v>
      </c>
      <c r="F28" s="1">
        <v>1000</v>
      </c>
      <c r="G28" s="1">
        <f t="shared" si="2"/>
        <v>30</v>
      </c>
    </row>
    <row r="29" spans="1:7">
      <c r="A29" s="2">
        <v>5</v>
      </c>
      <c r="B29" s="1" t="s">
        <v>36</v>
      </c>
      <c r="C29" s="1" t="s">
        <v>5</v>
      </c>
      <c r="D29" s="1">
        <v>25</v>
      </c>
      <c r="E29" s="1">
        <v>25</v>
      </c>
      <c r="F29" s="1">
        <v>1100</v>
      </c>
      <c r="G29" s="1">
        <f t="shared" si="2"/>
        <v>27.5</v>
      </c>
    </row>
    <row r="30" spans="1:7">
      <c r="A30" s="2">
        <v>6</v>
      </c>
      <c r="B30" s="1" t="s">
        <v>86</v>
      </c>
      <c r="C30" s="1" t="s">
        <v>5</v>
      </c>
      <c r="D30" s="1">
        <v>10</v>
      </c>
      <c r="E30" s="1">
        <v>10</v>
      </c>
      <c r="F30" s="1">
        <v>1000</v>
      </c>
      <c r="G30" s="1">
        <f t="shared" si="2"/>
        <v>10</v>
      </c>
    </row>
    <row r="31" spans="1:7">
      <c r="A31" s="2">
        <v>7</v>
      </c>
      <c r="B31" s="1" t="s">
        <v>87</v>
      </c>
      <c r="C31" s="1" t="s">
        <v>5</v>
      </c>
      <c r="D31" s="1">
        <v>20</v>
      </c>
      <c r="E31" s="1">
        <v>20</v>
      </c>
      <c r="F31" s="1">
        <v>1000</v>
      </c>
      <c r="G31" s="1">
        <f t="shared" si="2"/>
        <v>20</v>
      </c>
    </row>
    <row r="32" spans="1:7">
      <c r="A32" s="2">
        <v>8</v>
      </c>
      <c r="B32" s="1" t="s">
        <v>88</v>
      </c>
      <c r="C32" s="1" t="s">
        <v>5</v>
      </c>
      <c r="D32" s="1">
        <v>15</v>
      </c>
      <c r="E32" s="1">
        <v>15</v>
      </c>
      <c r="F32" s="1">
        <v>1000</v>
      </c>
      <c r="G32" s="1">
        <f t="shared" si="2"/>
        <v>15</v>
      </c>
    </row>
    <row r="33" spans="1:7">
      <c r="A33" s="2">
        <v>9</v>
      </c>
      <c r="B33" s="1" t="s">
        <v>89</v>
      </c>
      <c r="C33" s="1" t="s">
        <v>5</v>
      </c>
      <c r="D33" s="1">
        <v>50</v>
      </c>
      <c r="E33" s="1">
        <v>40</v>
      </c>
      <c r="F33" s="1">
        <v>650</v>
      </c>
      <c r="G33" s="1">
        <f t="shared" si="2"/>
        <v>32.5</v>
      </c>
    </row>
    <row r="34" spans="1:7">
      <c r="B34" t="s">
        <v>10</v>
      </c>
      <c r="D34">
        <f>SUM(D25:D33)</f>
        <v>240</v>
      </c>
      <c r="E34" s="29">
        <f>SUM(E25:E33)</f>
        <v>230</v>
      </c>
      <c r="F34" s="3"/>
      <c r="G34" s="9">
        <f>SUM(G25:G33)</f>
        <v>225</v>
      </c>
    </row>
    <row r="35" spans="1:7">
      <c r="F35" s="251" t="s">
        <v>28</v>
      </c>
      <c r="G35" s="246">
        <f>G34*3</f>
        <v>675</v>
      </c>
    </row>
    <row r="36" spans="1:7">
      <c r="F36" s="248" t="s">
        <v>14</v>
      </c>
      <c r="G36" s="248">
        <v>675</v>
      </c>
    </row>
    <row r="37" spans="1:7">
      <c r="B37" s="14" t="s">
        <v>95</v>
      </c>
    </row>
    <row r="38" spans="1:7" ht="36">
      <c r="A38" s="4" t="s">
        <v>12</v>
      </c>
      <c r="B38" s="4" t="s">
        <v>0</v>
      </c>
      <c r="C38" s="4" t="s">
        <v>1</v>
      </c>
      <c r="D38" s="4" t="s">
        <v>2</v>
      </c>
      <c r="E38" s="4" t="s">
        <v>3</v>
      </c>
      <c r="F38" s="5" t="s">
        <v>39</v>
      </c>
      <c r="G38" s="5" t="s">
        <v>15</v>
      </c>
    </row>
    <row r="39" spans="1:7">
      <c r="A39" s="2">
        <v>1</v>
      </c>
      <c r="B39" s="1" t="s">
        <v>91</v>
      </c>
      <c r="C39" s="1" t="s">
        <v>5</v>
      </c>
      <c r="D39" s="1">
        <v>125</v>
      </c>
      <c r="E39" s="1">
        <v>125</v>
      </c>
      <c r="F39" s="1">
        <v>230</v>
      </c>
      <c r="G39" s="1">
        <f>F39</f>
        <v>230</v>
      </c>
    </row>
    <row r="40" spans="1:7">
      <c r="A40" s="2">
        <v>2</v>
      </c>
      <c r="B40" s="1" t="s">
        <v>92</v>
      </c>
      <c r="C40" s="1" t="s">
        <v>5</v>
      </c>
      <c r="D40" s="1">
        <v>70</v>
      </c>
      <c r="E40" s="1">
        <v>65</v>
      </c>
      <c r="F40" s="1">
        <v>175</v>
      </c>
      <c r="G40" s="1">
        <f t="shared" ref="G40:G43" si="3">D40*F40/1000</f>
        <v>12.25</v>
      </c>
    </row>
    <row r="41" spans="1:7">
      <c r="A41" s="2">
        <v>3</v>
      </c>
      <c r="B41" s="1" t="s">
        <v>76</v>
      </c>
      <c r="C41" s="1" t="s">
        <v>5</v>
      </c>
      <c r="D41" s="1">
        <v>10</v>
      </c>
      <c r="E41" s="1">
        <v>5</v>
      </c>
      <c r="F41" s="1">
        <v>850</v>
      </c>
      <c r="G41" s="1">
        <f t="shared" si="3"/>
        <v>8.5</v>
      </c>
    </row>
    <row r="42" spans="1:7">
      <c r="A42" s="2">
        <v>4</v>
      </c>
      <c r="B42" s="1" t="s">
        <v>93</v>
      </c>
      <c r="C42" s="1" t="s">
        <v>5</v>
      </c>
      <c r="D42" s="1">
        <v>30</v>
      </c>
      <c r="E42" s="1">
        <v>30</v>
      </c>
      <c r="F42" s="1">
        <v>300</v>
      </c>
      <c r="G42" s="1">
        <f t="shared" si="3"/>
        <v>9</v>
      </c>
    </row>
    <row r="43" spans="1:7">
      <c r="A43" s="2">
        <v>5</v>
      </c>
      <c r="B43" s="1" t="s">
        <v>94</v>
      </c>
      <c r="C43" s="1" t="s">
        <v>5</v>
      </c>
      <c r="D43" s="1">
        <v>5</v>
      </c>
      <c r="E43" s="1">
        <v>5</v>
      </c>
      <c r="F43" s="1">
        <v>300</v>
      </c>
      <c r="G43" s="1">
        <f t="shared" si="3"/>
        <v>1.5</v>
      </c>
    </row>
    <row r="44" spans="1:7">
      <c r="B44" t="s">
        <v>10</v>
      </c>
      <c r="D44">
        <f>SUM(D39:D43)</f>
        <v>240</v>
      </c>
      <c r="E44" s="17">
        <f>SUM(E39:E43)</f>
        <v>230</v>
      </c>
      <c r="F44" s="3"/>
      <c r="G44" s="9">
        <f>SUM(G39:G43)</f>
        <v>261.25</v>
      </c>
    </row>
    <row r="45" spans="1:7">
      <c r="F45" s="251" t="s">
        <v>60</v>
      </c>
      <c r="G45" s="246">
        <f>G44*2</f>
        <v>522.5</v>
      </c>
    </row>
    <row r="46" spans="1:7">
      <c r="F46" s="248" t="s">
        <v>14</v>
      </c>
      <c r="G46" s="248">
        <v>525</v>
      </c>
    </row>
    <row r="47" spans="1:7">
      <c r="B47" s="14" t="s">
        <v>103</v>
      </c>
    </row>
    <row r="48" spans="1:7" ht="36">
      <c r="A48" s="4" t="s">
        <v>12</v>
      </c>
      <c r="B48" s="4" t="s">
        <v>0</v>
      </c>
      <c r="C48" s="4" t="s">
        <v>1</v>
      </c>
      <c r="D48" s="4" t="s">
        <v>2</v>
      </c>
      <c r="E48" s="4" t="s">
        <v>3</v>
      </c>
      <c r="F48" s="5" t="s">
        <v>39</v>
      </c>
      <c r="G48" s="5" t="s">
        <v>15</v>
      </c>
    </row>
    <row r="49" spans="1:7">
      <c r="A49" s="1">
        <v>1</v>
      </c>
      <c r="B49" s="1" t="s">
        <v>96</v>
      </c>
      <c r="C49" s="1" t="s">
        <v>5</v>
      </c>
      <c r="D49" s="1">
        <v>40</v>
      </c>
      <c r="E49" s="1">
        <v>40</v>
      </c>
      <c r="F49" s="1">
        <v>450</v>
      </c>
      <c r="G49" s="19">
        <f>D49*F49/1000</f>
        <v>18</v>
      </c>
    </row>
    <row r="50" spans="1:7">
      <c r="A50" s="1">
        <v>2</v>
      </c>
      <c r="B50" s="1" t="s">
        <v>97</v>
      </c>
      <c r="C50" s="1" t="s">
        <v>5</v>
      </c>
      <c r="D50" s="1">
        <v>40</v>
      </c>
      <c r="E50" s="1">
        <v>40</v>
      </c>
      <c r="F50" s="1">
        <v>820</v>
      </c>
      <c r="G50" s="19">
        <f t="shared" ref="G50:G56" si="4">D50*F50/1000</f>
        <v>32.799999999999997</v>
      </c>
    </row>
    <row r="51" spans="1:7">
      <c r="A51" s="1">
        <v>3</v>
      </c>
      <c r="B51" s="1" t="s">
        <v>98</v>
      </c>
      <c r="C51" s="1" t="s">
        <v>5</v>
      </c>
      <c r="D51" s="1">
        <v>40</v>
      </c>
      <c r="E51" s="1">
        <v>40</v>
      </c>
      <c r="F51" s="1">
        <v>1000</v>
      </c>
      <c r="G51" s="19">
        <f t="shared" si="4"/>
        <v>40</v>
      </c>
    </row>
    <row r="52" spans="1:7">
      <c r="A52" s="1">
        <v>4</v>
      </c>
      <c r="B52" s="1" t="s">
        <v>99</v>
      </c>
      <c r="C52" s="1" t="s">
        <v>5</v>
      </c>
      <c r="D52" s="1">
        <v>30</v>
      </c>
      <c r="E52" s="1">
        <v>30</v>
      </c>
      <c r="F52" s="1">
        <v>1000</v>
      </c>
      <c r="G52" s="19">
        <f t="shared" si="4"/>
        <v>30</v>
      </c>
    </row>
    <row r="53" spans="1:7">
      <c r="A53" s="1">
        <v>5</v>
      </c>
      <c r="B53" s="1" t="s">
        <v>100</v>
      </c>
      <c r="C53" s="1" t="s">
        <v>5</v>
      </c>
      <c r="D53" s="1">
        <v>30</v>
      </c>
      <c r="E53" s="1">
        <v>30</v>
      </c>
      <c r="F53" s="1">
        <v>900</v>
      </c>
      <c r="G53" s="19">
        <f t="shared" si="4"/>
        <v>27</v>
      </c>
    </row>
    <row r="54" spans="1:7">
      <c r="A54" s="1">
        <v>6</v>
      </c>
      <c r="B54" s="1" t="s">
        <v>101</v>
      </c>
      <c r="C54" s="1" t="s">
        <v>5</v>
      </c>
      <c r="D54" s="1">
        <v>30</v>
      </c>
      <c r="E54" s="1">
        <v>30</v>
      </c>
      <c r="F54" s="1">
        <v>120</v>
      </c>
      <c r="G54" s="19">
        <f t="shared" si="4"/>
        <v>3.6</v>
      </c>
    </row>
    <row r="55" spans="1:7">
      <c r="A55" s="1">
        <v>7</v>
      </c>
      <c r="B55" s="1" t="s">
        <v>102</v>
      </c>
      <c r="C55" s="1" t="s">
        <v>5</v>
      </c>
      <c r="D55" s="1">
        <v>40</v>
      </c>
      <c r="E55" s="1">
        <v>40</v>
      </c>
      <c r="F55" s="1">
        <v>175</v>
      </c>
      <c r="G55" s="19">
        <f t="shared" si="4"/>
        <v>7</v>
      </c>
    </row>
    <row r="56" spans="1:7">
      <c r="A56" s="1">
        <v>8</v>
      </c>
      <c r="B56" s="1" t="s">
        <v>78</v>
      </c>
      <c r="C56" s="1" t="s">
        <v>5</v>
      </c>
      <c r="D56" s="1"/>
      <c r="E56" s="1"/>
      <c r="F56" s="1">
        <v>850</v>
      </c>
      <c r="G56" s="19">
        <f t="shared" si="4"/>
        <v>0</v>
      </c>
    </row>
    <row r="57" spans="1:7">
      <c r="B57" t="s">
        <v>10</v>
      </c>
      <c r="D57">
        <f>SUM(D49:D56)</f>
        <v>250</v>
      </c>
      <c r="E57" s="17">
        <f>SUM(E49:E56)</f>
        <v>250</v>
      </c>
      <c r="F57" s="3"/>
      <c r="G57" s="9">
        <f>SUM(G49:G56)</f>
        <v>158.4</v>
      </c>
    </row>
    <row r="58" spans="1:7">
      <c r="F58" s="11" t="s">
        <v>545</v>
      </c>
      <c r="G58" s="12">
        <f>G57*3.5</f>
        <v>554.4</v>
      </c>
    </row>
    <row r="59" spans="1:7">
      <c r="F59" s="13" t="s">
        <v>14</v>
      </c>
      <c r="G59" s="13">
        <v>560</v>
      </c>
    </row>
    <row r="60" spans="1:7">
      <c r="B60" s="14" t="s">
        <v>108</v>
      </c>
    </row>
    <row r="61" spans="1:7" ht="36">
      <c r="A61" s="4" t="s">
        <v>12</v>
      </c>
      <c r="B61" s="4" t="s">
        <v>0</v>
      </c>
      <c r="C61" s="4" t="s">
        <v>1</v>
      </c>
      <c r="D61" s="4" t="s">
        <v>2</v>
      </c>
      <c r="E61" s="4" t="s">
        <v>3</v>
      </c>
      <c r="F61" s="5" t="s">
        <v>39</v>
      </c>
      <c r="G61" s="5" t="s">
        <v>15</v>
      </c>
    </row>
    <row r="62" spans="1:7">
      <c r="A62" s="2">
        <v>1</v>
      </c>
      <c r="B62" s="1" t="s">
        <v>104</v>
      </c>
      <c r="C62" s="1" t="s">
        <v>5</v>
      </c>
      <c r="D62" s="1">
        <v>70</v>
      </c>
      <c r="E62" s="1">
        <v>65</v>
      </c>
      <c r="F62" s="1">
        <v>185</v>
      </c>
      <c r="G62" s="20">
        <f>D62*F62/1000</f>
        <v>12.95</v>
      </c>
    </row>
    <row r="63" spans="1:7">
      <c r="A63" s="2">
        <v>2</v>
      </c>
      <c r="B63" s="1" t="s">
        <v>35</v>
      </c>
      <c r="C63" s="1" t="s">
        <v>5</v>
      </c>
      <c r="D63" s="1">
        <v>70</v>
      </c>
      <c r="E63" s="1">
        <v>65</v>
      </c>
      <c r="F63" s="1">
        <v>175</v>
      </c>
      <c r="G63" s="20">
        <f t="shared" ref="G63:G68" si="5">D63*F63/1000</f>
        <v>12.25</v>
      </c>
    </row>
    <row r="64" spans="1:7">
      <c r="A64" s="2">
        <v>3</v>
      </c>
      <c r="B64" s="1" t="s">
        <v>105</v>
      </c>
      <c r="C64" s="1" t="s">
        <v>5</v>
      </c>
      <c r="D64" s="1">
        <v>55</v>
      </c>
      <c r="E64" s="1">
        <v>40</v>
      </c>
      <c r="F64" s="1">
        <v>250</v>
      </c>
      <c r="G64" s="20">
        <f t="shared" si="5"/>
        <v>13.75</v>
      </c>
    </row>
    <row r="65" spans="1:7">
      <c r="A65" s="2">
        <v>4</v>
      </c>
      <c r="B65" s="1" t="s">
        <v>106</v>
      </c>
      <c r="C65" s="1" t="s">
        <v>5</v>
      </c>
      <c r="D65" s="1">
        <v>35</v>
      </c>
      <c r="E65" s="1">
        <v>30</v>
      </c>
      <c r="F65" s="1">
        <v>150</v>
      </c>
      <c r="G65" s="20">
        <f t="shared" si="5"/>
        <v>5.25</v>
      </c>
    </row>
    <row r="66" spans="1:7">
      <c r="A66" s="2">
        <v>5</v>
      </c>
      <c r="B66" s="1" t="s">
        <v>25</v>
      </c>
      <c r="C66" s="1" t="s">
        <v>5</v>
      </c>
      <c r="D66" s="1">
        <v>50</v>
      </c>
      <c r="E66" s="1">
        <v>50</v>
      </c>
      <c r="F66" s="1">
        <v>650</v>
      </c>
      <c r="G66" s="20">
        <f t="shared" si="5"/>
        <v>32.5</v>
      </c>
    </row>
    <row r="67" spans="1:7">
      <c r="A67" s="2">
        <v>6</v>
      </c>
      <c r="B67" s="1" t="s">
        <v>107</v>
      </c>
      <c r="C67" s="1" t="s">
        <v>5</v>
      </c>
      <c r="D67" s="1">
        <v>1</v>
      </c>
      <c r="E67" s="1"/>
      <c r="F67" s="1">
        <v>850</v>
      </c>
      <c r="G67" s="20">
        <f t="shared" si="5"/>
        <v>0.85</v>
      </c>
    </row>
    <row r="68" spans="1:7">
      <c r="A68" s="2">
        <v>7</v>
      </c>
      <c r="B68" s="1" t="s">
        <v>78</v>
      </c>
      <c r="C68" s="1" t="s">
        <v>5</v>
      </c>
      <c r="D68" s="1"/>
      <c r="E68" s="1"/>
      <c r="F68" s="1"/>
      <c r="G68" s="20">
        <f t="shared" si="5"/>
        <v>0</v>
      </c>
    </row>
    <row r="69" spans="1:7">
      <c r="B69" t="s">
        <v>10</v>
      </c>
      <c r="D69">
        <f>SUM(D62:D68)</f>
        <v>281</v>
      </c>
      <c r="E69" s="29">
        <f>SUM(E62:E68)</f>
        <v>250</v>
      </c>
      <c r="F69" s="3"/>
      <c r="G69" s="9">
        <f>SUM(G61:G68)</f>
        <v>77.55</v>
      </c>
    </row>
    <row r="70" spans="1:7">
      <c r="F70" s="11" t="s">
        <v>547</v>
      </c>
      <c r="G70" s="12">
        <f>G69*7</f>
        <v>542.85</v>
      </c>
    </row>
    <row r="71" spans="1:7">
      <c r="F71" s="13" t="s">
        <v>14</v>
      </c>
      <c r="G71" s="13">
        <v>545</v>
      </c>
    </row>
    <row r="74" spans="1:7">
      <c r="B74" s="14" t="s">
        <v>741</v>
      </c>
    </row>
    <row r="75" spans="1:7" ht="36">
      <c r="A75" s="4" t="s">
        <v>12</v>
      </c>
      <c r="B75" s="4" t="s">
        <v>0</v>
      </c>
      <c r="C75" s="4" t="s">
        <v>1</v>
      </c>
      <c r="D75" s="4" t="s">
        <v>2</v>
      </c>
      <c r="E75" s="4" t="s">
        <v>3</v>
      </c>
      <c r="F75" s="5" t="s">
        <v>39</v>
      </c>
      <c r="G75" s="5" t="s">
        <v>15</v>
      </c>
    </row>
    <row r="76" spans="1:7">
      <c r="A76" s="2">
        <v>1</v>
      </c>
      <c r="B76" s="1" t="s">
        <v>241</v>
      </c>
      <c r="C76" s="1" t="s">
        <v>5</v>
      </c>
      <c r="D76" s="1">
        <v>200</v>
      </c>
      <c r="E76" s="1">
        <v>150</v>
      </c>
      <c r="F76" s="1">
        <v>1300</v>
      </c>
      <c r="G76" s="20">
        <f>D76*F76/1000</f>
        <v>260</v>
      </c>
    </row>
    <row r="77" spans="1:7">
      <c r="A77" s="2">
        <v>2</v>
      </c>
      <c r="B77" s="1" t="s">
        <v>449</v>
      </c>
      <c r="C77" s="1" t="s">
        <v>5</v>
      </c>
      <c r="D77" s="1">
        <v>10</v>
      </c>
      <c r="E77" s="1">
        <v>10</v>
      </c>
      <c r="F77" s="1">
        <v>250</v>
      </c>
      <c r="G77" s="20">
        <f t="shared" ref="G77:G84" si="6">D77*F77/1000</f>
        <v>2.5</v>
      </c>
    </row>
    <row r="78" spans="1:7">
      <c r="A78" s="2">
        <v>3</v>
      </c>
      <c r="B78" s="1" t="s">
        <v>117</v>
      </c>
      <c r="C78" s="1" t="s">
        <v>5</v>
      </c>
      <c r="D78" s="1">
        <v>1</v>
      </c>
      <c r="E78" s="1">
        <v>1</v>
      </c>
      <c r="F78" s="1">
        <v>35</v>
      </c>
      <c r="G78" s="20">
        <f t="shared" si="6"/>
        <v>3.5000000000000003E-2</v>
      </c>
    </row>
    <row r="79" spans="1:7">
      <c r="A79" s="2">
        <v>4</v>
      </c>
      <c r="B79" s="1" t="s">
        <v>210</v>
      </c>
      <c r="C79" s="1" t="s">
        <v>5</v>
      </c>
      <c r="D79" s="1">
        <v>35</v>
      </c>
      <c r="E79" s="1">
        <v>30</v>
      </c>
      <c r="F79" s="1">
        <v>150</v>
      </c>
      <c r="G79" s="20">
        <f t="shared" si="6"/>
        <v>5.25</v>
      </c>
    </row>
    <row r="80" spans="1:7">
      <c r="A80" s="2">
        <v>5</v>
      </c>
      <c r="B80" s="1" t="s">
        <v>326</v>
      </c>
      <c r="C80" s="1" t="s">
        <v>5</v>
      </c>
      <c r="D80" s="1">
        <v>50</v>
      </c>
      <c r="E80" s="1">
        <v>50</v>
      </c>
      <c r="F80" s="1">
        <v>650</v>
      </c>
      <c r="G80" s="20">
        <f t="shared" si="6"/>
        <v>32.5</v>
      </c>
    </row>
    <row r="81" spans="1:7">
      <c r="A81" s="2">
        <v>6</v>
      </c>
      <c r="B81" s="1" t="s">
        <v>189</v>
      </c>
      <c r="C81" s="1" t="s">
        <v>5</v>
      </c>
      <c r="D81" s="1">
        <v>3</v>
      </c>
      <c r="E81" s="1">
        <v>2</v>
      </c>
      <c r="F81" s="1">
        <v>350</v>
      </c>
      <c r="G81" s="20">
        <f t="shared" si="6"/>
        <v>1.05</v>
      </c>
    </row>
    <row r="82" spans="1:7">
      <c r="A82" s="2">
        <v>7</v>
      </c>
      <c r="B82" s="1" t="s">
        <v>214</v>
      </c>
      <c r="C82" s="1" t="s">
        <v>5</v>
      </c>
      <c r="D82" s="1">
        <v>2</v>
      </c>
      <c r="E82" s="1">
        <v>2</v>
      </c>
      <c r="F82" s="1">
        <v>150</v>
      </c>
      <c r="G82" s="20">
        <f t="shared" si="6"/>
        <v>0.3</v>
      </c>
    </row>
    <row r="83" spans="1:7">
      <c r="A83" s="2">
        <v>8</v>
      </c>
      <c r="B83" s="324" t="s">
        <v>404</v>
      </c>
      <c r="C83" s="324" t="s">
        <v>111</v>
      </c>
      <c r="D83" s="324">
        <v>3</v>
      </c>
      <c r="E83" s="324">
        <v>3</v>
      </c>
      <c r="F83" s="324">
        <v>450</v>
      </c>
      <c r="G83" s="20">
        <f t="shared" si="6"/>
        <v>1.35</v>
      </c>
    </row>
    <row r="84" spans="1:7">
      <c r="A84" s="2"/>
      <c r="B84" s="324" t="s">
        <v>216</v>
      </c>
      <c r="C84" s="324" t="s">
        <v>111</v>
      </c>
      <c r="D84" s="324">
        <v>3</v>
      </c>
      <c r="E84" s="324">
        <v>2</v>
      </c>
      <c r="F84" s="324">
        <v>250</v>
      </c>
      <c r="G84" s="20">
        <f t="shared" si="6"/>
        <v>0.75</v>
      </c>
    </row>
    <row r="85" spans="1:7">
      <c r="B85" t="s">
        <v>10</v>
      </c>
      <c r="D85">
        <f>SUM(D76:D84)</f>
        <v>307</v>
      </c>
      <c r="E85" s="29">
        <f>SUM(E76:E84)</f>
        <v>250</v>
      </c>
      <c r="F85" s="3"/>
      <c r="G85" s="9">
        <f>SUM(G75:G84)</f>
        <v>303.73500000000007</v>
      </c>
    </row>
    <row r="86" spans="1:7">
      <c r="F86" s="11" t="s">
        <v>28</v>
      </c>
      <c r="G86" s="12">
        <f>G85*3</f>
        <v>911.20500000000015</v>
      </c>
    </row>
    <row r="87" spans="1:7">
      <c r="F87" s="13" t="s">
        <v>14</v>
      </c>
      <c r="G87" s="13">
        <v>900</v>
      </c>
    </row>
    <row r="89" spans="1:7">
      <c r="B89" s="14" t="s">
        <v>621</v>
      </c>
    </row>
    <row r="90" spans="1:7" ht="36">
      <c r="A90" s="4" t="s">
        <v>12</v>
      </c>
      <c r="B90" s="4" t="s">
        <v>0</v>
      </c>
      <c r="C90" s="4" t="s">
        <v>1</v>
      </c>
      <c r="D90" s="4" t="s">
        <v>2</v>
      </c>
      <c r="E90" s="4" t="s">
        <v>3</v>
      </c>
      <c r="F90" s="5" t="s">
        <v>39</v>
      </c>
      <c r="G90" s="5" t="s">
        <v>15</v>
      </c>
    </row>
    <row r="91" spans="1:7">
      <c r="A91" s="2">
        <v>1</v>
      </c>
      <c r="B91" s="1" t="s">
        <v>727</v>
      </c>
      <c r="C91" s="1" t="s">
        <v>5</v>
      </c>
      <c r="D91" s="1">
        <v>250</v>
      </c>
      <c r="E91" s="1">
        <v>220</v>
      </c>
      <c r="F91" s="1">
        <v>185</v>
      </c>
      <c r="G91" s="20">
        <f>D91*F91/1000</f>
        <v>46.25</v>
      </c>
    </row>
    <row r="92" spans="1:7">
      <c r="A92" s="2">
        <v>2</v>
      </c>
      <c r="B92" s="1" t="s">
        <v>171</v>
      </c>
      <c r="C92" s="1" t="s">
        <v>5</v>
      </c>
      <c r="D92" s="1">
        <v>1</v>
      </c>
      <c r="E92" s="1">
        <v>1</v>
      </c>
      <c r="F92" s="1">
        <v>175</v>
      </c>
      <c r="G92" s="20">
        <f t="shared" ref="G92:G99" si="7">D92*F92/1000</f>
        <v>0.17499999999999999</v>
      </c>
    </row>
    <row r="93" spans="1:7">
      <c r="A93" s="2">
        <v>3</v>
      </c>
      <c r="B93" s="1" t="s">
        <v>117</v>
      </c>
      <c r="C93" s="1" t="s">
        <v>5</v>
      </c>
      <c r="D93" s="1">
        <v>1</v>
      </c>
      <c r="E93" s="1">
        <v>1</v>
      </c>
      <c r="F93" s="1">
        <v>30</v>
      </c>
      <c r="G93" s="20">
        <f t="shared" si="7"/>
        <v>0.03</v>
      </c>
    </row>
    <row r="94" spans="1:7">
      <c r="A94" s="2">
        <v>4</v>
      </c>
      <c r="B94" s="1" t="s">
        <v>508</v>
      </c>
      <c r="C94" s="1" t="s">
        <v>5</v>
      </c>
      <c r="D94" s="1">
        <v>2</v>
      </c>
      <c r="E94" s="1">
        <v>2</v>
      </c>
      <c r="F94" s="1">
        <v>120</v>
      </c>
      <c r="G94" s="20">
        <f t="shared" si="7"/>
        <v>0.24</v>
      </c>
    </row>
    <row r="95" spans="1:7">
      <c r="A95" s="2">
        <v>5</v>
      </c>
      <c r="B95" s="1" t="s">
        <v>165</v>
      </c>
      <c r="C95" s="1" t="s">
        <v>5</v>
      </c>
      <c r="D95" s="1">
        <v>5</v>
      </c>
      <c r="E95" s="1">
        <v>5</v>
      </c>
      <c r="F95" s="1">
        <v>150</v>
      </c>
      <c r="G95" s="20">
        <f t="shared" si="7"/>
        <v>0.75</v>
      </c>
    </row>
    <row r="96" spans="1:7">
      <c r="A96" s="2">
        <v>6</v>
      </c>
      <c r="B96" s="1" t="s">
        <v>107</v>
      </c>
      <c r="C96" s="1" t="s">
        <v>5</v>
      </c>
      <c r="D96" s="1">
        <v>1</v>
      </c>
      <c r="E96" s="1"/>
      <c r="F96" s="1">
        <v>850</v>
      </c>
      <c r="G96" s="20">
        <f t="shared" si="7"/>
        <v>0.85</v>
      </c>
    </row>
    <row r="97" spans="1:7">
      <c r="A97" s="2">
        <v>7</v>
      </c>
      <c r="B97" s="1" t="s">
        <v>742</v>
      </c>
      <c r="C97" s="1" t="s">
        <v>5</v>
      </c>
      <c r="D97" s="1">
        <v>5</v>
      </c>
      <c r="E97" s="1">
        <v>5</v>
      </c>
      <c r="F97" s="1">
        <v>250</v>
      </c>
      <c r="G97" s="20">
        <f t="shared" si="7"/>
        <v>1.25</v>
      </c>
    </row>
    <row r="98" spans="1:7">
      <c r="A98" s="2"/>
      <c r="B98" s="324" t="s">
        <v>743</v>
      </c>
      <c r="C98" s="324" t="s">
        <v>111</v>
      </c>
      <c r="D98" s="324">
        <v>1</v>
      </c>
      <c r="E98" s="324">
        <v>1</v>
      </c>
      <c r="F98" s="324">
        <v>200</v>
      </c>
      <c r="G98" s="20">
        <f t="shared" si="7"/>
        <v>0.2</v>
      </c>
    </row>
    <row r="99" spans="1:7">
      <c r="A99" s="2"/>
      <c r="B99" s="324" t="s">
        <v>744</v>
      </c>
      <c r="C99" s="324" t="s">
        <v>111</v>
      </c>
      <c r="D99" s="324">
        <v>5</v>
      </c>
      <c r="E99" s="324">
        <v>5</v>
      </c>
      <c r="F99" s="324">
        <v>650</v>
      </c>
      <c r="G99" s="20">
        <f t="shared" si="7"/>
        <v>3.25</v>
      </c>
    </row>
    <row r="100" spans="1:7">
      <c r="B100" t="s">
        <v>10</v>
      </c>
      <c r="D100">
        <f>SUM(D91:D99)</f>
        <v>271</v>
      </c>
      <c r="E100" s="29">
        <f>SUM(E91:E99)</f>
        <v>240</v>
      </c>
      <c r="F100" s="3"/>
      <c r="G100" s="9">
        <f>SUM(G90:G99)</f>
        <v>52.995000000000005</v>
      </c>
    </row>
    <row r="101" spans="1:7">
      <c r="F101" s="11" t="s">
        <v>18</v>
      </c>
      <c r="G101" s="12">
        <f>G100*5</f>
        <v>264.97500000000002</v>
      </c>
    </row>
    <row r="102" spans="1:7">
      <c r="F102" s="13" t="s">
        <v>14</v>
      </c>
      <c r="G102" s="13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K153"/>
  <sheetViews>
    <sheetView topLeftCell="A145" workbookViewId="0">
      <selection activeCell="I93" sqref="I93"/>
    </sheetView>
  </sheetViews>
  <sheetFormatPr defaultRowHeight="15"/>
  <cols>
    <col min="1" max="1" width="4.28515625" customWidth="1"/>
    <col min="2" max="2" width="24" customWidth="1"/>
    <col min="6" max="6" width="13.28515625" customWidth="1"/>
  </cols>
  <sheetData>
    <row r="1" spans="1:9">
      <c r="B1" s="14" t="s">
        <v>748</v>
      </c>
    </row>
    <row r="2" spans="1:9" ht="36">
      <c r="A2" s="4" t="s">
        <v>12</v>
      </c>
      <c r="B2" s="4" t="s">
        <v>0</v>
      </c>
      <c r="C2" s="4" t="s">
        <v>1</v>
      </c>
      <c r="D2" s="4" t="s">
        <v>2</v>
      </c>
      <c r="E2" s="4" t="s">
        <v>3</v>
      </c>
      <c r="F2" s="5" t="s">
        <v>39</v>
      </c>
      <c r="G2" s="5" t="s">
        <v>15</v>
      </c>
    </row>
    <row r="3" spans="1:9">
      <c r="A3" s="2">
        <v>1</v>
      </c>
      <c r="B3" s="1" t="s">
        <v>76</v>
      </c>
      <c r="C3" s="1" t="s">
        <v>5</v>
      </c>
      <c r="D3" s="1">
        <v>45</v>
      </c>
      <c r="E3" s="1">
        <v>35</v>
      </c>
      <c r="F3" s="1">
        <v>850</v>
      </c>
      <c r="G3" s="20">
        <f>D3*F3/1000</f>
        <v>38.25</v>
      </c>
    </row>
    <row r="4" spans="1:9">
      <c r="A4" s="2">
        <v>2</v>
      </c>
      <c r="B4" s="1" t="s">
        <v>109</v>
      </c>
      <c r="C4" s="1" t="s">
        <v>5</v>
      </c>
      <c r="D4" s="1">
        <v>40</v>
      </c>
      <c r="E4" s="1">
        <v>35</v>
      </c>
      <c r="F4" s="1">
        <v>250</v>
      </c>
      <c r="G4" s="20">
        <f t="shared" ref="G4:G12" si="0">D4*F4/1000</f>
        <v>10</v>
      </c>
    </row>
    <row r="5" spans="1:9">
      <c r="A5" s="2">
        <v>3</v>
      </c>
      <c r="B5" s="1" t="s">
        <v>110</v>
      </c>
      <c r="C5" s="1" t="s">
        <v>111</v>
      </c>
      <c r="D5" s="1">
        <v>40</v>
      </c>
      <c r="E5" s="1"/>
      <c r="F5" s="1">
        <v>250</v>
      </c>
      <c r="G5" s="253"/>
      <c r="H5" s="252"/>
      <c r="I5" s="252"/>
    </row>
    <row r="6" spans="1:9">
      <c r="A6" s="2">
        <v>4</v>
      </c>
      <c r="B6" s="1" t="s">
        <v>112</v>
      </c>
      <c r="C6" s="1" t="s">
        <v>111</v>
      </c>
      <c r="D6" s="1">
        <v>60</v>
      </c>
      <c r="E6" s="1">
        <v>40</v>
      </c>
      <c r="F6" s="1">
        <v>950</v>
      </c>
      <c r="G6" s="253">
        <f t="shared" si="0"/>
        <v>57</v>
      </c>
      <c r="H6" s="252"/>
      <c r="I6" s="252"/>
    </row>
    <row r="7" spans="1:9">
      <c r="A7" s="2">
        <v>5</v>
      </c>
      <c r="B7" s="1" t="s">
        <v>113</v>
      </c>
      <c r="C7" s="1" t="s">
        <v>111</v>
      </c>
      <c r="D7" s="1">
        <v>15</v>
      </c>
      <c r="E7" s="1">
        <v>15</v>
      </c>
      <c r="F7" s="1">
        <v>250</v>
      </c>
      <c r="G7" s="20">
        <f t="shared" si="0"/>
        <v>3.75</v>
      </c>
    </row>
    <row r="8" spans="1:9">
      <c r="A8" s="2">
        <v>6</v>
      </c>
      <c r="B8" s="1" t="s">
        <v>64</v>
      </c>
      <c r="C8" s="1" t="s">
        <v>5</v>
      </c>
      <c r="D8" s="1">
        <v>50</v>
      </c>
      <c r="E8" s="1">
        <v>40</v>
      </c>
      <c r="F8" s="1">
        <v>8</v>
      </c>
      <c r="G8" s="20">
        <v>8</v>
      </c>
    </row>
    <row r="9" spans="1:9">
      <c r="A9" s="2">
        <v>7</v>
      </c>
      <c r="B9" s="1" t="s">
        <v>114</v>
      </c>
      <c r="C9" s="1" t="s">
        <v>5</v>
      </c>
      <c r="D9" s="1">
        <v>40</v>
      </c>
      <c r="E9" s="1">
        <v>25</v>
      </c>
      <c r="F9" s="1">
        <v>150</v>
      </c>
      <c r="G9" s="20">
        <f t="shared" si="0"/>
        <v>6</v>
      </c>
    </row>
    <row r="10" spans="1:9">
      <c r="A10" s="2">
        <v>8</v>
      </c>
      <c r="B10" s="1" t="s">
        <v>115</v>
      </c>
      <c r="C10" s="1" t="s">
        <v>5</v>
      </c>
      <c r="D10" s="1">
        <v>5</v>
      </c>
      <c r="E10" s="1">
        <v>5</v>
      </c>
      <c r="F10" s="1">
        <v>750</v>
      </c>
      <c r="G10" s="20">
        <f t="shared" si="0"/>
        <v>3.75</v>
      </c>
    </row>
    <row r="11" spans="1:9">
      <c r="A11" s="2">
        <v>9</v>
      </c>
      <c r="B11" s="1" t="s">
        <v>116</v>
      </c>
      <c r="C11" s="1" t="s">
        <v>5</v>
      </c>
      <c r="D11" s="1">
        <v>2</v>
      </c>
      <c r="E11" s="1">
        <v>0</v>
      </c>
      <c r="F11" s="1">
        <v>10</v>
      </c>
      <c r="G11" s="20">
        <f t="shared" si="0"/>
        <v>0.02</v>
      </c>
    </row>
    <row r="12" spans="1:9">
      <c r="A12" s="2">
        <v>10</v>
      </c>
      <c r="B12" s="1" t="s">
        <v>117</v>
      </c>
      <c r="C12" s="1" t="s">
        <v>111</v>
      </c>
      <c r="D12" s="1">
        <v>5</v>
      </c>
      <c r="E12" s="1">
        <v>0</v>
      </c>
      <c r="F12" s="1">
        <v>10</v>
      </c>
      <c r="G12" s="20">
        <f t="shared" si="0"/>
        <v>0.05</v>
      </c>
    </row>
    <row r="13" spans="1:9">
      <c r="B13" s="10" t="s">
        <v>10</v>
      </c>
      <c r="D13">
        <f>SUM(D3:D12)</f>
        <v>302</v>
      </c>
      <c r="E13" s="17">
        <f>SUM(E3:E12)</f>
        <v>195</v>
      </c>
      <c r="F13" s="3"/>
      <c r="G13" s="9">
        <f>SUM(G3:G12)</f>
        <v>126.82</v>
      </c>
    </row>
    <row r="14" spans="1:9" ht="16.899999999999999" customHeight="1">
      <c r="F14" s="251" t="s">
        <v>28</v>
      </c>
      <c r="G14" s="246">
        <f>G13*3</f>
        <v>380.46</v>
      </c>
    </row>
    <row r="15" spans="1:9" ht="16.899999999999999" customHeight="1">
      <c r="F15" s="248" t="s">
        <v>14</v>
      </c>
      <c r="G15" s="248">
        <v>400</v>
      </c>
    </row>
    <row r="16" spans="1:9">
      <c r="B16" s="14" t="s">
        <v>124</v>
      </c>
    </row>
    <row r="17" spans="1:11" ht="36">
      <c r="A17" s="23" t="s">
        <v>12</v>
      </c>
      <c r="B17" s="22" t="s">
        <v>0</v>
      </c>
      <c r="C17" s="4" t="s">
        <v>1</v>
      </c>
      <c r="D17" s="4" t="s">
        <v>2</v>
      </c>
      <c r="E17" s="4" t="s">
        <v>3</v>
      </c>
      <c r="F17" s="21" t="s">
        <v>39</v>
      </c>
      <c r="G17" s="21" t="s">
        <v>15</v>
      </c>
    </row>
    <row r="18" spans="1:11">
      <c r="A18" s="1">
        <v>1</v>
      </c>
      <c r="B18" s="1" t="s">
        <v>118</v>
      </c>
      <c r="C18" s="1" t="s">
        <v>111</v>
      </c>
      <c r="D18" s="1">
        <v>90</v>
      </c>
      <c r="E18" s="1">
        <v>60</v>
      </c>
      <c r="F18" s="1">
        <v>250</v>
      </c>
      <c r="G18" s="24">
        <f>D18*F18/1000</f>
        <v>22.5</v>
      </c>
    </row>
    <row r="19" spans="1:11">
      <c r="A19" s="1">
        <v>2</v>
      </c>
      <c r="B19" s="1" t="s">
        <v>119</v>
      </c>
      <c r="C19" s="1" t="s">
        <v>111</v>
      </c>
      <c r="D19" s="1">
        <v>80</v>
      </c>
      <c r="E19" s="1">
        <v>60</v>
      </c>
      <c r="F19" s="1">
        <v>250</v>
      </c>
      <c r="G19" s="24">
        <f t="shared" ref="G19:G24" si="1">D19*F19/1000</f>
        <v>20</v>
      </c>
    </row>
    <row r="20" spans="1:11">
      <c r="A20" s="1">
        <v>3</v>
      </c>
      <c r="B20" s="1" t="s">
        <v>120</v>
      </c>
      <c r="C20" s="1" t="s">
        <v>111</v>
      </c>
      <c r="D20" s="1">
        <v>60</v>
      </c>
      <c r="E20" s="1">
        <v>45</v>
      </c>
      <c r="F20" s="1">
        <v>250</v>
      </c>
      <c r="G20" s="254">
        <f t="shared" si="1"/>
        <v>15</v>
      </c>
      <c r="H20" s="252"/>
      <c r="I20" s="252"/>
    </row>
    <row r="21" spans="1:11">
      <c r="A21" s="1">
        <v>4</v>
      </c>
      <c r="B21" s="1" t="s">
        <v>121</v>
      </c>
      <c r="C21" s="1" t="s">
        <v>111</v>
      </c>
      <c r="D21" s="1">
        <v>15</v>
      </c>
      <c r="E21" s="1">
        <v>10</v>
      </c>
      <c r="F21" s="1">
        <v>200</v>
      </c>
      <c r="G21" s="24">
        <f t="shared" si="1"/>
        <v>3</v>
      </c>
      <c r="H21" s="252"/>
      <c r="I21" s="252"/>
      <c r="J21" s="252"/>
      <c r="K21" s="252"/>
    </row>
    <row r="22" spans="1:11">
      <c r="A22" s="1">
        <v>5</v>
      </c>
      <c r="B22" s="1" t="s">
        <v>150</v>
      </c>
      <c r="C22" s="1" t="s">
        <v>111</v>
      </c>
      <c r="D22" s="1">
        <v>20</v>
      </c>
      <c r="E22" s="1">
        <v>20</v>
      </c>
      <c r="F22" s="1">
        <v>185</v>
      </c>
      <c r="G22" s="24">
        <f t="shared" si="1"/>
        <v>3.7</v>
      </c>
    </row>
    <row r="23" spans="1:11">
      <c r="A23" s="1">
        <v>6</v>
      </c>
      <c r="B23" s="1" t="s">
        <v>122</v>
      </c>
      <c r="C23" s="1" t="s">
        <v>111</v>
      </c>
      <c r="D23" s="1">
        <v>10</v>
      </c>
      <c r="E23" s="1">
        <v>10</v>
      </c>
      <c r="F23" s="1">
        <v>1000</v>
      </c>
      <c r="G23" s="24">
        <f t="shared" si="1"/>
        <v>10</v>
      </c>
    </row>
    <row r="24" spans="1:11">
      <c r="A24" s="1">
        <v>7</v>
      </c>
      <c r="B24" s="1" t="s">
        <v>123</v>
      </c>
      <c r="C24" s="1" t="s">
        <v>111</v>
      </c>
      <c r="D24" s="1">
        <v>50</v>
      </c>
      <c r="E24" s="1">
        <v>45</v>
      </c>
      <c r="F24" s="1">
        <v>1000</v>
      </c>
      <c r="G24" s="24">
        <f t="shared" si="1"/>
        <v>50</v>
      </c>
    </row>
    <row r="25" spans="1:11">
      <c r="B25" s="10" t="s">
        <v>10</v>
      </c>
      <c r="D25">
        <f>SUM(D18:D24)</f>
        <v>325</v>
      </c>
      <c r="E25" s="29">
        <f>SUM(E18:E24)</f>
        <v>250</v>
      </c>
      <c r="F25" s="3"/>
      <c r="G25" s="9">
        <f>SUM(G18:G24)</f>
        <v>124.2</v>
      </c>
    </row>
    <row r="26" spans="1:11">
      <c r="F26" s="251" t="s">
        <v>60</v>
      </c>
      <c r="G26" s="246">
        <f>G25*2</f>
        <v>248.4</v>
      </c>
    </row>
    <row r="27" spans="1:11">
      <c r="F27" s="248" t="s">
        <v>14</v>
      </c>
      <c r="G27" s="248">
        <v>525</v>
      </c>
    </row>
    <row r="28" spans="1:11">
      <c r="B28" s="14" t="s">
        <v>132</v>
      </c>
    </row>
    <row r="29" spans="1:11" ht="36">
      <c r="A29" s="4" t="s">
        <v>12</v>
      </c>
      <c r="B29" s="4" t="s">
        <v>0</v>
      </c>
      <c r="C29" s="4" t="s">
        <v>1</v>
      </c>
      <c r="D29" s="4" t="s">
        <v>2</v>
      </c>
      <c r="E29" s="4" t="s">
        <v>3</v>
      </c>
      <c r="F29" s="5" t="s">
        <v>39</v>
      </c>
      <c r="G29" s="5" t="s">
        <v>15</v>
      </c>
    </row>
    <row r="30" spans="1:11">
      <c r="A30" s="2">
        <v>1</v>
      </c>
      <c r="B30" s="1" t="s">
        <v>125</v>
      </c>
      <c r="C30" s="1" t="s">
        <v>111</v>
      </c>
      <c r="D30" s="1">
        <v>70</v>
      </c>
      <c r="E30" s="1">
        <v>70</v>
      </c>
      <c r="F30" s="1">
        <v>850</v>
      </c>
      <c r="G30" s="24">
        <f>D30*F30/1000</f>
        <v>59.5</v>
      </c>
    </row>
    <row r="31" spans="1:11">
      <c r="A31" s="2">
        <v>2</v>
      </c>
      <c r="B31" s="1" t="s">
        <v>34</v>
      </c>
      <c r="C31" s="1" t="s">
        <v>111</v>
      </c>
      <c r="D31" s="1">
        <v>40</v>
      </c>
      <c r="E31" s="1">
        <v>38</v>
      </c>
      <c r="F31" s="1">
        <v>185</v>
      </c>
      <c r="G31" s="24">
        <f t="shared" ref="G31:G39" si="2">D31*F31/1000</f>
        <v>7.4</v>
      </c>
    </row>
    <row r="32" spans="1:11">
      <c r="A32" s="2">
        <v>3</v>
      </c>
      <c r="B32" s="1" t="s">
        <v>126</v>
      </c>
      <c r="C32" s="1" t="s">
        <v>111</v>
      </c>
      <c r="D32" s="1">
        <v>80</v>
      </c>
      <c r="E32" s="1">
        <v>55</v>
      </c>
      <c r="F32" s="1">
        <v>2000</v>
      </c>
      <c r="G32" s="254">
        <f t="shared" si="2"/>
        <v>160</v>
      </c>
      <c r="H32" s="252" t="s">
        <v>548</v>
      </c>
      <c r="I32" s="252"/>
    </row>
    <row r="33" spans="1:9">
      <c r="A33" s="2">
        <v>4</v>
      </c>
      <c r="B33" s="1" t="s">
        <v>127</v>
      </c>
      <c r="C33" s="1" t="s">
        <v>111</v>
      </c>
      <c r="D33" s="1">
        <v>10</v>
      </c>
      <c r="E33" s="1">
        <v>5</v>
      </c>
      <c r="F33" s="1">
        <v>850</v>
      </c>
      <c r="G33" s="24">
        <f t="shared" si="2"/>
        <v>8.5</v>
      </c>
      <c r="H33" t="s">
        <v>549</v>
      </c>
    </row>
    <row r="34" spans="1:9">
      <c r="A34" s="2">
        <v>5</v>
      </c>
      <c r="B34" s="1" t="s">
        <v>128</v>
      </c>
      <c r="C34" s="1" t="s">
        <v>111</v>
      </c>
      <c r="D34" s="1">
        <v>5</v>
      </c>
      <c r="E34" s="1">
        <v>5</v>
      </c>
      <c r="F34" s="1">
        <v>150</v>
      </c>
      <c r="G34" s="24">
        <f t="shared" si="2"/>
        <v>0.75</v>
      </c>
    </row>
    <row r="35" spans="1:9">
      <c r="A35" s="2">
        <v>6</v>
      </c>
      <c r="B35" s="1" t="s">
        <v>129</v>
      </c>
      <c r="C35" s="1" t="s">
        <v>111</v>
      </c>
      <c r="D35" s="1">
        <v>5</v>
      </c>
      <c r="E35" s="1">
        <v>5</v>
      </c>
      <c r="F35" s="1">
        <v>250</v>
      </c>
      <c r="G35" s="24">
        <f t="shared" si="2"/>
        <v>1.25</v>
      </c>
    </row>
    <row r="36" spans="1:9">
      <c r="A36" s="2">
        <v>7</v>
      </c>
      <c r="B36" s="1" t="s">
        <v>38</v>
      </c>
      <c r="C36" s="1" t="s">
        <v>111</v>
      </c>
      <c r="D36" s="1">
        <v>15</v>
      </c>
      <c r="E36" s="1">
        <v>15</v>
      </c>
      <c r="F36" s="1">
        <v>170</v>
      </c>
      <c r="G36" s="24">
        <f t="shared" si="2"/>
        <v>2.5499999999999998</v>
      </c>
    </row>
    <row r="37" spans="1:9">
      <c r="A37" s="2">
        <v>8</v>
      </c>
      <c r="B37" s="1" t="s">
        <v>8</v>
      </c>
      <c r="C37" s="1" t="s">
        <v>111</v>
      </c>
      <c r="D37" s="1">
        <v>1</v>
      </c>
      <c r="E37" s="1">
        <v>1</v>
      </c>
      <c r="F37" s="1">
        <v>10</v>
      </c>
      <c r="G37" s="24">
        <f t="shared" si="2"/>
        <v>0.01</v>
      </c>
    </row>
    <row r="38" spans="1:9">
      <c r="A38" s="2">
        <v>9</v>
      </c>
      <c r="B38" s="1" t="s">
        <v>130</v>
      </c>
      <c r="C38" s="1" t="s">
        <v>111</v>
      </c>
      <c r="D38" s="1">
        <v>1</v>
      </c>
      <c r="E38" s="1">
        <v>1</v>
      </c>
      <c r="F38" s="1">
        <v>10</v>
      </c>
      <c r="G38" s="24">
        <f t="shared" si="2"/>
        <v>0.01</v>
      </c>
    </row>
    <row r="39" spans="1:9">
      <c r="A39" s="2">
        <v>10</v>
      </c>
      <c r="B39" s="1" t="s">
        <v>131</v>
      </c>
      <c r="C39" s="1" t="s">
        <v>111</v>
      </c>
      <c r="D39" s="1">
        <v>5</v>
      </c>
      <c r="E39" s="1">
        <v>5</v>
      </c>
      <c r="F39" s="1">
        <v>50</v>
      </c>
      <c r="G39" s="24">
        <f t="shared" si="2"/>
        <v>0.25</v>
      </c>
    </row>
    <row r="40" spans="1:9">
      <c r="B40" s="10" t="s">
        <v>10</v>
      </c>
      <c r="D40">
        <f>SUM(D30:D39)</f>
        <v>232</v>
      </c>
      <c r="E40" s="29">
        <f>SUM(E30:E39)</f>
        <v>200</v>
      </c>
      <c r="F40" s="3"/>
      <c r="G40" s="9">
        <f>SUM(G30:G39)</f>
        <v>240.22</v>
      </c>
    </row>
    <row r="41" spans="1:9">
      <c r="F41" s="251" t="s">
        <v>60</v>
      </c>
      <c r="G41" s="246">
        <f>G40*2</f>
        <v>480.44</v>
      </c>
    </row>
    <row r="42" spans="1:9">
      <c r="F42" s="248" t="s">
        <v>14</v>
      </c>
      <c r="G42" s="248">
        <v>425</v>
      </c>
    </row>
    <row r="43" spans="1:9">
      <c r="B43" s="14" t="s">
        <v>139</v>
      </c>
    </row>
    <row r="44" spans="1:9" ht="36">
      <c r="A44" s="4" t="s">
        <v>12</v>
      </c>
      <c r="B44" s="4" t="s">
        <v>0</v>
      </c>
      <c r="C44" s="4" t="s">
        <v>1</v>
      </c>
      <c r="D44" s="4" t="s">
        <v>2</v>
      </c>
      <c r="E44" s="4" t="s">
        <v>3</v>
      </c>
      <c r="F44" s="5" t="s">
        <v>39</v>
      </c>
      <c r="G44" s="5" t="s">
        <v>15</v>
      </c>
    </row>
    <row r="45" spans="1:9">
      <c r="A45" s="2">
        <v>1</v>
      </c>
      <c r="B45" s="1" t="s">
        <v>133</v>
      </c>
      <c r="C45" s="1" t="s">
        <v>111</v>
      </c>
      <c r="D45" s="1">
        <v>50</v>
      </c>
      <c r="E45" s="1">
        <v>40</v>
      </c>
      <c r="F45" s="1">
        <v>1500</v>
      </c>
      <c r="G45" s="24">
        <f>D45*F45/1000</f>
        <v>75</v>
      </c>
    </row>
    <row r="46" spans="1:9">
      <c r="A46" s="2">
        <v>2</v>
      </c>
      <c r="B46" s="1" t="s">
        <v>109</v>
      </c>
      <c r="C46" s="1" t="s">
        <v>111</v>
      </c>
      <c r="D46" s="1">
        <v>50</v>
      </c>
      <c r="E46" s="1">
        <v>30</v>
      </c>
      <c r="F46" s="1">
        <v>250</v>
      </c>
      <c r="G46" s="254">
        <v>43</v>
      </c>
      <c r="H46" s="252"/>
      <c r="I46" s="252"/>
    </row>
    <row r="47" spans="1:9">
      <c r="A47" s="2">
        <v>3</v>
      </c>
      <c r="B47" s="1" t="s">
        <v>134</v>
      </c>
      <c r="C47" s="1" t="s">
        <v>111</v>
      </c>
      <c r="D47" s="1">
        <v>40</v>
      </c>
      <c r="E47" s="1">
        <v>30</v>
      </c>
      <c r="F47" s="1">
        <v>250</v>
      </c>
      <c r="G47" s="24">
        <f t="shared" ref="G47:G54" si="3">D47*F47/1000</f>
        <v>10</v>
      </c>
    </row>
    <row r="48" spans="1:9">
      <c r="A48" s="2">
        <v>4</v>
      </c>
      <c r="B48" s="1" t="s">
        <v>135</v>
      </c>
      <c r="C48" s="1" t="s">
        <v>111</v>
      </c>
      <c r="D48" s="1">
        <v>50</v>
      </c>
      <c r="E48" s="1">
        <v>40</v>
      </c>
      <c r="F48" s="1">
        <v>250</v>
      </c>
      <c r="G48" s="24">
        <f t="shared" si="3"/>
        <v>12.5</v>
      </c>
    </row>
    <row r="49" spans="1:7">
      <c r="A49" s="2">
        <v>5</v>
      </c>
      <c r="B49" s="1" t="s">
        <v>25</v>
      </c>
      <c r="C49" s="1" t="s">
        <v>111</v>
      </c>
      <c r="D49" s="1">
        <v>40</v>
      </c>
      <c r="E49" s="1">
        <v>40</v>
      </c>
      <c r="F49" s="1">
        <v>350</v>
      </c>
      <c r="G49" s="24">
        <f t="shared" si="3"/>
        <v>14</v>
      </c>
    </row>
    <row r="50" spans="1:7">
      <c r="A50" s="2">
        <v>6</v>
      </c>
      <c r="B50" s="1" t="s">
        <v>38</v>
      </c>
      <c r="C50" s="1" t="s">
        <v>111</v>
      </c>
      <c r="D50" s="1">
        <v>30</v>
      </c>
      <c r="E50" s="1">
        <v>20</v>
      </c>
      <c r="F50" s="1">
        <v>150</v>
      </c>
      <c r="G50" s="24">
        <f t="shared" si="3"/>
        <v>4.5</v>
      </c>
    </row>
    <row r="51" spans="1:7">
      <c r="A51" s="2">
        <v>7</v>
      </c>
      <c r="B51" s="1" t="s">
        <v>136</v>
      </c>
      <c r="C51" s="1" t="s">
        <v>111</v>
      </c>
      <c r="D51" s="1">
        <v>10</v>
      </c>
      <c r="E51" s="1">
        <v>10</v>
      </c>
      <c r="F51" s="1">
        <v>850</v>
      </c>
      <c r="G51" s="24">
        <f t="shared" si="3"/>
        <v>8.5</v>
      </c>
    </row>
    <row r="52" spans="1:7">
      <c r="A52" s="2">
        <v>8</v>
      </c>
      <c r="B52" s="1" t="s">
        <v>131</v>
      </c>
      <c r="C52" s="1" t="s">
        <v>111</v>
      </c>
      <c r="D52" s="1">
        <v>5</v>
      </c>
      <c r="E52" s="1">
        <v>5</v>
      </c>
      <c r="F52" s="1">
        <v>50</v>
      </c>
      <c r="G52" s="24">
        <f t="shared" si="3"/>
        <v>0.25</v>
      </c>
    </row>
    <row r="53" spans="1:7">
      <c r="A53" s="2">
        <v>9</v>
      </c>
      <c r="B53" s="1" t="s">
        <v>137</v>
      </c>
      <c r="C53" s="1" t="s">
        <v>111</v>
      </c>
      <c r="D53" s="1">
        <v>2</v>
      </c>
      <c r="E53" s="1">
        <v>1</v>
      </c>
      <c r="F53" s="1">
        <v>10</v>
      </c>
      <c r="G53" s="24">
        <f t="shared" si="3"/>
        <v>0.02</v>
      </c>
    </row>
    <row r="54" spans="1:7">
      <c r="A54" s="2">
        <v>10</v>
      </c>
      <c r="B54" s="1" t="s">
        <v>138</v>
      </c>
      <c r="C54" s="1" t="s">
        <v>111</v>
      </c>
      <c r="D54" s="1">
        <v>5</v>
      </c>
      <c r="E54" s="1">
        <v>5</v>
      </c>
      <c r="F54" s="1">
        <v>850</v>
      </c>
      <c r="G54" s="24">
        <f t="shared" si="3"/>
        <v>4.25</v>
      </c>
    </row>
    <row r="55" spans="1:7">
      <c r="B55" s="10" t="s">
        <v>10</v>
      </c>
      <c r="D55">
        <f>SUM(D45:D54)</f>
        <v>282</v>
      </c>
      <c r="E55" s="29">
        <f>SUM(E45:E54)</f>
        <v>221</v>
      </c>
      <c r="F55" s="3"/>
      <c r="G55" s="9">
        <f>SUM(G45:G54)</f>
        <v>172.02</v>
      </c>
    </row>
    <row r="56" spans="1:7">
      <c r="F56" s="251" t="s">
        <v>28</v>
      </c>
      <c r="G56" s="246">
        <f>G55*3</f>
        <v>516.06000000000006</v>
      </c>
    </row>
    <row r="57" spans="1:7">
      <c r="F57" s="248" t="s">
        <v>14</v>
      </c>
      <c r="G57" s="248">
        <v>500</v>
      </c>
    </row>
    <row r="58" spans="1:7">
      <c r="B58" s="14" t="s">
        <v>148</v>
      </c>
    </row>
    <row r="59" spans="1:7" ht="36">
      <c r="A59" s="4" t="s">
        <v>12</v>
      </c>
      <c r="B59" s="4" t="s">
        <v>0</v>
      </c>
      <c r="C59" s="4" t="s">
        <v>1</v>
      </c>
      <c r="D59" s="4" t="s">
        <v>2</v>
      </c>
      <c r="E59" s="4" t="s">
        <v>3</v>
      </c>
      <c r="F59" s="5" t="s">
        <v>39</v>
      </c>
      <c r="G59" s="5" t="s">
        <v>15</v>
      </c>
    </row>
    <row r="60" spans="1:7">
      <c r="A60" s="1">
        <v>1</v>
      </c>
      <c r="B60" s="1" t="s">
        <v>140</v>
      </c>
      <c r="C60" s="1" t="s">
        <v>111</v>
      </c>
      <c r="D60" s="1">
        <v>20</v>
      </c>
      <c r="E60" s="1">
        <v>20</v>
      </c>
      <c r="F60" s="1">
        <v>850</v>
      </c>
      <c r="G60" s="24">
        <f>D60*F60/1000</f>
        <v>17</v>
      </c>
    </row>
    <row r="61" spans="1:7">
      <c r="A61" s="1">
        <v>2</v>
      </c>
      <c r="B61" s="1" t="s">
        <v>117</v>
      </c>
      <c r="C61" s="1" t="s">
        <v>111</v>
      </c>
      <c r="D61" s="1">
        <v>1</v>
      </c>
      <c r="E61" s="1">
        <v>0</v>
      </c>
      <c r="F61" s="1">
        <v>10</v>
      </c>
      <c r="G61" s="24">
        <f t="shared" ref="G61:G69" si="4">D61*F61/1000</f>
        <v>0.01</v>
      </c>
    </row>
    <row r="62" spans="1:7">
      <c r="A62" s="1">
        <v>3</v>
      </c>
      <c r="B62" s="1" t="s">
        <v>141</v>
      </c>
      <c r="C62" s="1" t="s">
        <v>111</v>
      </c>
      <c r="D62" s="1">
        <v>15</v>
      </c>
      <c r="E62" s="1">
        <v>10</v>
      </c>
      <c r="F62" s="1">
        <v>850</v>
      </c>
      <c r="G62" s="24">
        <f t="shared" si="4"/>
        <v>12.75</v>
      </c>
    </row>
    <row r="63" spans="1:7">
      <c r="A63" s="1">
        <v>4</v>
      </c>
      <c r="B63" s="1" t="s">
        <v>110</v>
      </c>
      <c r="C63" s="1" t="s">
        <v>111</v>
      </c>
      <c r="D63" s="1">
        <v>40</v>
      </c>
      <c r="E63" s="1">
        <v>30</v>
      </c>
      <c r="F63" s="1">
        <v>850</v>
      </c>
      <c r="G63" s="24">
        <f t="shared" si="4"/>
        <v>34</v>
      </c>
    </row>
    <row r="64" spans="1:7">
      <c r="A64" s="1">
        <v>5</v>
      </c>
      <c r="B64" s="1" t="s">
        <v>142</v>
      </c>
      <c r="C64" s="1" t="s">
        <v>111</v>
      </c>
      <c r="D64" s="1">
        <v>40</v>
      </c>
      <c r="E64" s="1">
        <v>30</v>
      </c>
      <c r="F64" s="1">
        <v>850</v>
      </c>
      <c r="G64" s="24">
        <f t="shared" si="4"/>
        <v>34</v>
      </c>
    </row>
    <row r="65" spans="1:7">
      <c r="A65" s="1">
        <v>6</v>
      </c>
      <c r="B65" s="1" t="s">
        <v>143</v>
      </c>
      <c r="C65" s="1" t="s">
        <v>111</v>
      </c>
      <c r="D65" s="1">
        <v>80</v>
      </c>
      <c r="E65" s="1">
        <v>60</v>
      </c>
      <c r="F65" s="1">
        <v>1800</v>
      </c>
      <c r="G65" s="24">
        <f t="shared" si="4"/>
        <v>144</v>
      </c>
    </row>
    <row r="66" spans="1:7">
      <c r="A66" s="1">
        <v>7</v>
      </c>
      <c r="B66" s="1" t="s">
        <v>144</v>
      </c>
      <c r="C66" s="1" t="s">
        <v>111</v>
      </c>
      <c r="D66" s="1">
        <v>18</v>
      </c>
      <c r="E66" s="1">
        <v>15</v>
      </c>
      <c r="F66" s="1">
        <v>170</v>
      </c>
      <c r="G66" s="24">
        <f t="shared" si="4"/>
        <v>3.06</v>
      </c>
    </row>
    <row r="67" spans="1:7">
      <c r="A67" s="1">
        <v>8</v>
      </c>
      <c r="B67" s="1" t="s">
        <v>145</v>
      </c>
      <c r="C67" s="1" t="s">
        <v>111</v>
      </c>
      <c r="D67" s="1">
        <v>5</v>
      </c>
      <c r="E67" s="1">
        <v>5</v>
      </c>
      <c r="F67" s="1">
        <v>70</v>
      </c>
      <c r="G67" s="24">
        <f t="shared" si="4"/>
        <v>0.35</v>
      </c>
    </row>
    <row r="68" spans="1:7">
      <c r="A68" s="1">
        <v>9</v>
      </c>
      <c r="B68" s="1" t="s">
        <v>146</v>
      </c>
      <c r="C68" s="1" t="s">
        <v>111</v>
      </c>
      <c r="D68" s="1">
        <v>50</v>
      </c>
      <c r="E68" s="1">
        <v>30</v>
      </c>
      <c r="F68" s="1">
        <v>170</v>
      </c>
      <c r="G68" s="24">
        <f t="shared" si="4"/>
        <v>8.5</v>
      </c>
    </row>
    <row r="69" spans="1:7">
      <c r="A69" s="1">
        <v>10</v>
      </c>
      <c r="B69" s="1" t="s">
        <v>147</v>
      </c>
      <c r="C69" s="1" t="s">
        <v>111</v>
      </c>
      <c r="D69" s="1">
        <v>10</v>
      </c>
      <c r="E69" s="1">
        <v>0</v>
      </c>
      <c r="F69" s="1">
        <v>250</v>
      </c>
      <c r="G69" s="24">
        <f t="shared" si="4"/>
        <v>2.5</v>
      </c>
    </row>
    <row r="70" spans="1:7">
      <c r="B70" s="10" t="s">
        <v>10</v>
      </c>
      <c r="D70">
        <f>SUM(D60:D69)</f>
        <v>279</v>
      </c>
      <c r="E70" s="29">
        <f>SUM(E60:E69)</f>
        <v>200</v>
      </c>
      <c r="F70" s="3"/>
      <c r="G70" s="9">
        <f>SUM(G60:G69)</f>
        <v>256.16999999999996</v>
      </c>
    </row>
    <row r="71" spans="1:7">
      <c r="F71" s="11" t="s">
        <v>28</v>
      </c>
      <c r="G71" s="12">
        <f>G70*3</f>
        <v>768.50999999999988</v>
      </c>
    </row>
    <row r="72" spans="1:7">
      <c r="F72" s="13" t="s">
        <v>14</v>
      </c>
      <c r="G72" s="13">
        <v>770</v>
      </c>
    </row>
    <row r="73" spans="1:7">
      <c r="B73" s="14" t="s">
        <v>154</v>
      </c>
    </row>
    <row r="74" spans="1:7" ht="36">
      <c r="A74" s="4" t="s">
        <v>12</v>
      </c>
      <c r="B74" s="4" t="s">
        <v>0</v>
      </c>
      <c r="C74" s="4" t="s">
        <v>1</v>
      </c>
      <c r="D74" s="4" t="s">
        <v>2</v>
      </c>
      <c r="E74" s="4" t="s">
        <v>3</v>
      </c>
      <c r="F74" s="5" t="s">
        <v>39</v>
      </c>
      <c r="G74" s="5" t="s">
        <v>15</v>
      </c>
    </row>
    <row r="75" spans="1:7">
      <c r="A75" s="2">
        <v>1</v>
      </c>
      <c r="B75" s="1" t="s">
        <v>149</v>
      </c>
      <c r="C75" s="1" t="s">
        <v>5</v>
      </c>
      <c r="D75" s="1">
        <v>120</v>
      </c>
      <c r="E75" s="1">
        <v>100</v>
      </c>
      <c r="F75" s="1">
        <v>200</v>
      </c>
      <c r="G75" s="24">
        <f>D75*F75/1000</f>
        <v>24</v>
      </c>
    </row>
    <row r="76" spans="1:7">
      <c r="A76" s="2">
        <v>2</v>
      </c>
      <c r="B76" s="1" t="s">
        <v>150</v>
      </c>
      <c r="C76" s="1" t="s">
        <v>5</v>
      </c>
      <c r="D76" s="1">
        <v>100</v>
      </c>
      <c r="E76" s="1">
        <v>95</v>
      </c>
      <c r="F76" s="1">
        <v>185</v>
      </c>
      <c r="G76" s="24">
        <f t="shared" ref="G76:G81" si="5">D76*F76/1000</f>
        <v>18.5</v>
      </c>
    </row>
    <row r="77" spans="1:7">
      <c r="A77" s="2">
        <v>3</v>
      </c>
      <c r="B77" s="1" t="s">
        <v>37</v>
      </c>
      <c r="C77" s="1" t="s">
        <v>111</v>
      </c>
      <c r="D77" s="1">
        <v>30</v>
      </c>
      <c r="E77" s="1">
        <v>0</v>
      </c>
      <c r="F77" s="1">
        <v>126</v>
      </c>
      <c r="G77" s="24">
        <f t="shared" si="5"/>
        <v>3.78</v>
      </c>
    </row>
    <row r="78" spans="1:7">
      <c r="A78" s="2">
        <v>4</v>
      </c>
      <c r="B78" s="1" t="s">
        <v>36</v>
      </c>
      <c r="C78" s="1" t="s">
        <v>111</v>
      </c>
      <c r="D78" s="1">
        <v>20</v>
      </c>
      <c r="E78" s="1">
        <v>20</v>
      </c>
      <c r="F78" s="1">
        <v>1100</v>
      </c>
      <c r="G78" s="24">
        <f t="shared" si="5"/>
        <v>22</v>
      </c>
    </row>
    <row r="79" spans="1:7">
      <c r="A79" s="2">
        <v>5</v>
      </c>
      <c r="B79" s="1" t="s">
        <v>151</v>
      </c>
      <c r="C79" s="1" t="s">
        <v>5</v>
      </c>
      <c r="D79" s="1">
        <v>15</v>
      </c>
      <c r="E79" s="1">
        <v>4</v>
      </c>
      <c r="F79" s="1">
        <v>150</v>
      </c>
      <c r="G79" s="24">
        <f t="shared" si="5"/>
        <v>2.25</v>
      </c>
    </row>
    <row r="80" spans="1:7">
      <c r="A80" s="2">
        <v>6</v>
      </c>
      <c r="B80" s="1" t="s">
        <v>152</v>
      </c>
      <c r="C80" s="1" t="s">
        <v>5</v>
      </c>
      <c r="D80" s="1">
        <v>30</v>
      </c>
      <c r="E80" s="1">
        <v>30</v>
      </c>
      <c r="F80" s="1">
        <v>1750</v>
      </c>
      <c r="G80" s="24">
        <f t="shared" si="5"/>
        <v>52.5</v>
      </c>
    </row>
    <row r="81" spans="1:7">
      <c r="A81" s="2">
        <v>7</v>
      </c>
      <c r="B81" s="1" t="s">
        <v>153</v>
      </c>
      <c r="C81" s="1" t="s">
        <v>5</v>
      </c>
      <c r="D81" s="1">
        <v>1</v>
      </c>
      <c r="E81" s="1">
        <v>1</v>
      </c>
      <c r="F81" s="1">
        <v>850</v>
      </c>
      <c r="G81" s="24">
        <f t="shared" si="5"/>
        <v>0.85</v>
      </c>
    </row>
    <row r="82" spans="1:7">
      <c r="B82" s="10" t="s">
        <v>10</v>
      </c>
      <c r="D82">
        <f>SUM(D75:D81)</f>
        <v>316</v>
      </c>
      <c r="E82">
        <f>SUM(E75:E81)</f>
        <v>250</v>
      </c>
      <c r="F82" s="3"/>
      <c r="G82" s="9">
        <f>SUM(G75:G81)</f>
        <v>123.88</v>
      </c>
    </row>
    <row r="83" spans="1:7">
      <c r="F83" s="11" t="s">
        <v>28</v>
      </c>
      <c r="G83" s="12">
        <f>G82*3</f>
        <v>371.64</v>
      </c>
    </row>
    <row r="84" spans="1:7">
      <c r="F84" s="13" t="s">
        <v>14</v>
      </c>
      <c r="G84" s="13">
        <v>380</v>
      </c>
    </row>
    <row r="85" spans="1:7">
      <c r="B85" s="14" t="s">
        <v>159</v>
      </c>
    </row>
    <row r="86" spans="1:7" ht="36">
      <c r="A86" s="25" t="s">
        <v>12</v>
      </c>
      <c r="B86" s="4" t="s">
        <v>0</v>
      </c>
      <c r="C86" s="4" t="s">
        <v>1</v>
      </c>
      <c r="D86" s="4" t="s">
        <v>2</v>
      </c>
      <c r="E86" s="4" t="s">
        <v>3</v>
      </c>
      <c r="F86" s="5" t="s">
        <v>39</v>
      </c>
      <c r="G86" s="5" t="s">
        <v>15</v>
      </c>
    </row>
    <row r="87" spans="1:7">
      <c r="A87" s="2">
        <v>1</v>
      </c>
      <c r="B87" s="1" t="s">
        <v>155</v>
      </c>
      <c r="C87" s="1" t="s">
        <v>5</v>
      </c>
      <c r="D87" s="1">
        <v>60</v>
      </c>
      <c r="E87" s="1">
        <v>60</v>
      </c>
      <c r="F87" s="1">
        <v>850</v>
      </c>
      <c r="G87" s="24">
        <f>D87*F87/1000</f>
        <v>51</v>
      </c>
    </row>
    <row r="88" spans="1:7">
      <c r="A88" s="2">
        <v>2</v>
      </c>
      <c r="B88" s="1" t="s">
        <v>156</v>
      </c>
      <c r="C88" s="1" t="s">
        <v>5</v>
      </c>
      <c r="D88" s="1">
        <v>20</v>
      </c>
      <c r="E88" s="1">
        <v>20</v>
      </c>
      <c r="F88" s="1">
        <v>150</v>
      </c>
      <c r="G88" s="24">
        <f t="shared" ref="G88:G94" si="6">D88*F88/1000</f>
        <v>3</v>
      </c>
    </row>
    <row r="89" spans="1:7">
      <c r="A89" s="2">
        <v>3</v>
      </c>
      <c r="B89" s="1" t="s">
        <v>37</v>
      </c>
      <c r="C89" s="1" t="s">
        <v>111</v>
      </c>
      <c r="D89" s="1">
        <v>10</v>
      </c>
      <c r="E89" s="1">
        <v>0</v>
      </c>
      <c r="F89" s="1">
        <v>126</v>
      </c>
      <c r="G89" s="24">
        <f t="shared" si="6"/>
        <v>1.26</v>
      </c>
    </row>
    <row r="90" spans="1:7">
      <c r="A90" s="2">
        <v>4</v>
      </c>
      <c r="B90" s="1" t="s">
        <v>76</v>
      </c>
      <c r="C90" s="1" t="s">
        <v>111</v>
      </c>
      <c r="D90" s="1">
        <v>35</v>
      </c>
      <c r="E90" s="1">
        <v>30</v>
      </c>
      <c r="F90" s="1">
        <v>850</v>
      </c>
      <c r="G90" s="24">
        <f t="shared" si="6"/>
        <v>29.75</v>
      </c>
    </row>
    <row r="91" spans="1:7">
      <c r="A91" s="2">
        <v>5</v>
      </c>
      <c r="B91" s="1" t="s">
        <v>157</v>
      </c>
      <c r="C91" s="1" t="s">
        <v>5</v>
      </c>
      <c r="D91" s="1">
        <v>40</v>
      </c>
      <c r="E91" s="1">
        <v>30</v>
      </c>
      <c r="F91" s="1">
        <v>850</v>
      </c>
      <c r="G91" s="24">
        <f t="shared" si="6"/>
        <v>34</v>
      </c>
    </row>
    <row r="92" spans="1:7">
      <c r="A92" s="2">
        <v>6</v>
      </c>
      <c r="B92" s="1" t="s">
        <v>150</v>
      </c>
      <c r="C92" s="1" t="s">
        <v>5</v>
      </c>
      <c r="D92" s="1">
        <v>65</v>
      </c>
      <c r="E92" s="1">
        <v>60</v>
      </c>
      <c r="F92" s="1">
        <v>185</v>
      </c>
      <c r="G92" s="24">
        <f t="shared" si="6"/>
        <v>12.025</v>
      </c>
    </row>
    <row r="93" spans="1:7">
      <c r="A93" s="2">
        <v>7</v>
      </c>
      <c r="B93" s="1" t="s">
        <v>127</v>
      </c>
      <c r="C93" s="1" t="s">
        <v>5</v>
      </c>
      <c r="D93" s="1">
        <v>5</v>
      </c>
      <c r="E93" s="1">
        <v>0</v>
      </c>
      <c r="F93" s="1">
        <v>850</v>
      </c>
      <c r="G93" s="24">
        <f t="shared" si="6"/>
        <v>4.25</v>
      </c>
    </row>
    <row r="94" spans="1:7">
      <c r="A94" s="2">
        <v>8</v>
      </c>
      <c r="B94" s="1" t="s">
        <v>158</v>
      </c>
      <c r="C94" s="1" t="s">
        <v>5</v>
      </c>
      <c r="D94" s="1">
        <v>5</v>
      </c>
      <c r="E94" s="1"/>
      <c r="F94" s="1">
        <v>70</v>
      </c>
      <c r="G94" s="24">
        <f t="shared" si="6"/>
        <v>0.35</v>
      </c>
    </row>
    <row r="95" spans="1:7">
      <c r="B95" s="10" t="s">
        <v>10</v>
      </c>
      <c r="D95">
        <f>SUM(D87:D94)</f>
        <v>240</v>
      </c>
      <c r="E95">
        <f>SUM(E87:E94)</f>
        <v>200</v>
      </c>
      <c r="F95" s="3"/>
      <c r="G95" s="9">
        <f>SUM(G87:G94)</f>
        <v>135.63499999999999</v>
      </c>
    </row>
    <row r="96" spans="1:7">
      <c r="F96" s="11" t="s">
        <v>28</v>
      </c>
      <c r="G96" s="12">
        <f>G95*3</f>
        <v>406.90499999999997</v>
      </c>
    </row>
    <row r="97" spans="1:7">
      <c r="F97" s="13" t="s">
        <v>14</v>
      </c>
      <c r="G97" s="13">
        <v>410</v>
      </c>
    </row>
    <row r="98" spans="1:7">
      <c r="B98" s="14" t="s">
        <v>168</v>
      </c>
    </row>
    <row r="99" spans="1:7" ht="36">
      <c r="A99" s="26" t="s">
        <v>12</v>
      </c>
      <c r="B99" s="26" t="s">
        <v>0</v>
      </c>
      <c r="C99" s="26" t="s">
        <v>1</v>
      </c>
      <c r="D99" s="26" t="s">
        <v>2</v>
      </c>
      <c r="E99" s="26" t="s">
        <v>3</v>
      </c>
      <c r="F99" s="5" t="s">
        <v>39</v>
      </c>
      <c r="G99" s="5" t="s">
        <v>15</v>
      </c>
    </row>
    <row r="100" spans="1:7">
      <c r="A100" s="2">
        <v>1</v>
      </c>
      <c r="B100" s="1" t="s">
        <v>160</v>
      </c>
      <c r="C100" s="1" t="s">
        <v>5</v>
      </c>
      <c r="D100" s="1">
        <v>100</v>
      </c>
      <c r="E100" s="1">
        <v>60</v>
      </c>
      <c r="F100" s="1">
        <v>520</v>
      </c>
      <c r="G100" s="24">
        <f>D100*F100/1000</f>
        <v>52</v>
      </c>
    </row>
    <row r="101" spans="1:7">
      <c r="A101" s="2">
        <v>2</v>
      </c>
      <c r="B101" s="1" t="s">
        <v>161</v>
      </c>
      <c r="C101" s="1" t="s">
        <v>5</v>
      </c>
      <c r="D101" s="1">
        <v>85</v>
      </c>
      <c r="E101" s="1">
        <v>80</v>
      </c>
      <c r="F101" s="1">
        <v>150</v>
      </c>
      <c r="G101" s="24">
        <f t="shared" ref="G101:G106" si="7">D101*F101/1000</f>
        <v>12.75</v>
      </c>
    </row>
    <row r="102" spans="1:7">
      <c r="A102" s="2">
        <v>3</v>
      </c>
      <c r="B102" s="1" t="s">
        <v>37</v>
      </c>
      <c r="C102" s="1" t="s">
        <v>111</v>
      </c>
      <c r="D102" s="1">
        <v>10</v>
      </c>
      <c r="E102" s="1">
        <v>5</v>
      </c>
      <c r="F102" s="1">
        <v>126</v>
      </c>
      <c r="G102" s="24">
        <f t="shared" si="7"/>
        <v>1.26</v>
      </c>
    </row>
    <row r="103" spans="1:7">
      <c r="A103" s="2">
        <v>4</v>
      </c>
      <c r="B103" s="1" t="s">
        <v>162</v>
      </c>
      <c r="C103" s="1" t="s">
        <v>111</v>
      </c>
      <c r="D103" s="1">
        <v>60</v>
      </c>
      <c r="E103" s="1">
        <v>50</v>
      </c>
      <c r="F103" s="1">
        <v>80</v>
      </c>
      <c r="G103" s="24">
        <f t="shared" si="7"/>
        <v>4.8</v>
      </c>
    </row>
    <row r="104" spans="1:7">
      <c r="A104" s="2">
        <v>5</v>
      </c>
      <c r="B104" s="1" t="s">
        <v>163</v>
      </c>
      <c r="C104" s="1" t="s">
        <v>5</v>
      </c>
      <c r="D104" s="1">
        <v>30</v>
      </c>
      <c r="E104" s="1">
        <v>30</v>
      </c>
      <c r="F104" s="1">
        <v>180</v>
      </c>
      <c r="G104" s="24">
        <f t="shared" si="7"/>
        <v>5.4</v>
      </c>
    </row>
    <row r="105" spans="1:7">
      <c r="A105" s="2">
        <v>6</v>
      </c>
      <c r="B105" s="1" t="s">
        <v>164</v>
      </c>
      <c r="C105" s="1" t="s">
        <v>5</v>
      </c>
      <c r="D105" s="1">
        <v>7</v>
      </c>
      <c r="E105" s="1">
        <v>5</v>
      </c>
      <c r="F105" s="1">
        <v>850</v>
      </c>
      <c r="G105" s="24">
        <f t="shared" si="7"/>
        <v>5.95</v>
      </c>
    </row>
    <row r="106" spans="1:7">
      <c r="A106" s="2">
        <v>7</v>
      </c>
      <c r="B106" s="1" t="s">
        <v>165</v>
      </c>
      <c r="C106" s="1" t="s">
        <v>5</v>
      </c>
      <c r="D106" s="1">
        <v>5</v>
      </c>
      <c r="E106" s="1">
        <v>0</v>
      </c>
      <c r="F106" s="1">
        <v>10</v>
      </c>
      <c r="G106" s="24">
        <f t="shared" si="7"/>
        <v>0.05</v>
      </c>
    </row>
    <row r="107" spans="1:7">
      <c r="A107" s="2">
        <v>8</v>
      </c>
      <c r="B107" s="1" t="s">
        <v>166</v>
      </c>
      <c r="C107" s="1" t="s">
        <v>5</v>
      </c>
      <c r="D107" s="1">
        <v>20</v>
      </c>
      <c r="E107" s="1">
        <v>20</v>
      </c>
      <c r="F107" s="1">
        <v>10</v>
      </c>
      <c r="G107" s="24">
        <v>10</v>
      </c>
    </row>
    <row r="108" spans="1:7">
      <c r="B108" t="s">
        <v>10</v>
      </c>
      <c r="D108">
        <f>SUM(D100:D107)</f>
        <v>317</v>
      </c>
      <c r="E108" s="29">
        <f>SUM(E100:E107)</f>
        <v>250</v>
      </c>
      <c r="F108" s="3"/>
      <c r="G108" s="9">
        <f>SUM(G100:G107)</f>
        <v>92.210000000000008</v>
      </c>
    </row>
    <row r="109" spans="1:7">
      <c r="F109" s="11" t="s">
        <v>167</v>
      </c>
      <c r="G109" s="12">
        <f>G108*3</f>
        <v>276.63</v>
      </c>
    </row>
    <row r="110" spans="1:7">
      <c r="F110" s="13" t="s">
        <v>14</v>
      </c>
      <c r="G110" s="13">
        <v>310</v>
      </c>
    </row>
    <row r="111" spans="1:7">
      <c r="B111" s="14" t="s">
        <v>175</v>
      </c>
    </row>
    <row r="112" spans="1:7" ht="36">
      <c r="A112" s="4" t="s">
        <v>12</v>
      </c>
      <c r="B112" s="4" t="s">
        <v>0</v>
      </c>
      <c r="C112" s="4" t="s">
        <v>1</v>
      </c>
      <c r="D112" s="4" t="s">
        <v>2</v>
      </c>
      <c r="E112" s="4" t="s">
        <v>3</v>
      </c>
      <c r="F112" s="5" t="s">
        <v>39</v>
      </c>
      <c r="G112" s="5" t="s">
        <v>15</v>
      </c>
    </row>
    <row r="113" spans="1:7">
      <c r="A113" s="2">
        <v>1</v>
      </c>
      <c r="B113" s="1" t="s">
        <v>160</v>
      </c>
      <c r="C113" s="1" t="s">
        <v>5</v>
      </c>
      <c r="D113" s="1">
        <v>100</v>
      </c>
      <c r="E113" s="1">
        <v>60</v>
      </c>
      <c r="F113" s="1">
        <v>680</v>
      </c>
      <c r="G113" s="24">
        <f>D113*F113/1000</f>
        <v>68</v>
      </c>
    </row>
    <row r="114" spans="1:7">
      <c r="A114" s="2">
        <v>2</v>
      </c>
      <c r="B114" s="1" t="s">
        <v>35</v>
      </c>
      <c r="C114" s="1" t="s">
        <v>5</v>
      </c>
      <c r="D114" s="1">
        <v>50</v>
      </c>
      <c r="E114" s="1">
        <v>45</v>
      </c>
      <c r="F114" s="1">
        <v>175</v>
      </c>
      <c r="G114" s="24">
        <f t="shared" ref="G114:G122" si="8">D114*F114/1000</f>
        <v>8.75</v>
      </c>
    </row>
    <row r="115" spans="1:7">
      <c r="A115" s="2">
        <v>3</v>
      </c>
      <c r="B115" s="1" t="s">
        <v>105</v>
      </c>
      <c r="C115" s="1" t="s">
        <v>111</v>
      </c>
      <c r="D115" s="1">
        <v>50</v>
      </c>
      <c r="E115" s="1">
        <v>45</v>
      </c>
      <c r="F115" s="1">
        <v>200</v>
      </c>
      <c r="G115" s="24">
        <f t="shared" si="8"/>
        <v>10</v>
      </c>
    </row>
    <row r="116" spans="1:7">
      <c r="A116" s="2">
        <v>4</v>
      </c>
      <c r="B116" s="1" t="s">
        <v>169</v>
      </c>
      <c r="C116" s="1" t="s">
        <v>111</v>
      </c>
      <c r="D116" s="1">
        <v>20</v>
      </c>
      <c r="E116" s="1">
        <v>10</v>
      </c>
      <c r="F116" s="1">
        <v>150</v>
      </c>
      <c r="G116" s="24">
        <f t="shared" si="8"/>
        <v>3</v>
      </c>
    </row>
    <row r="117" spans="1:7">
      <c r="A117" s="2">
        <v>5</v>
      </c>
      <c r="B117" s="1" t="s">
        <v>170</v>
      </c>
      <c r="C117" s="1" t="s">
        <v>5</v>
      </c>
      <c r="D117" s="1">
        <v>30</v>
      </c>
      <c r="E117" s="1">
        <v>30</v>
      </c>
      <c r="F117" s="1">
        <v>185</v>
      </c>
      <c r="G117" s="24">
        <f t="shared" si="8"/>
        <v>5.55</v>
      </c>
    </row>
    <row r="118" spans="1:7">
      <c r="A118" s="2">
        <v>6</v>
      </c>
      <c r="B118" s="1" t="s">
        <v>164</v>
      </c>
      <c r="C118" s="1" t="s">
        <v>5</v>
      </c>
      <c r="D118" s="1">
        <v>5</v>
      </c>
      <c r="E118" s="1">
        <v>5</v>
      </c>
      <c r="F118" s="1">
        <v>850</v>
      </c>
      <c r="G118" s="24">
        <f t="shared" si="8"/>
        <v>4.25</v>
      </c>
    </row>
    <row r="119" spans="1:7">
      <c r="A119" s="2">
        <v>7</v>
      </c>
      <c r="B119" s="1" t="s">
        <v>171</v>
      </c>
      <c r="C119" s="1" t="s">
        <v>5</v>
      </c>
      <c r="D119" s="1">
        <v>5</v>
      </c>
      <c r="E119" s="1">
        <v>5</v>
      </c>
      <c r="F119" s="1">
        <v>850</v>
      </c>
      <c r="G119" s="24">
        <f t="shared" si="8"/>
        <v>4.25</v>
      </c>
    </row>
    <row r="120" spans="1:7">
      <c r="A120" s="2">
        <v>8</v>
      </c>
      <c r="B120" s="1" t="s">
        <v>172</v>
      </c>
      <c r="C120" s="1" t="s">
        <v>5</v>
      </c>
      <c r="D120" s="1">
        <v>10</v>
      </c>
      <c r="E120" s="1">
        <v>0</v>
      </c>
      <c r="F120" s="1">
        <v>70</v>
      </c>
      <c r="G120" s="24">
        <f t="shared" si="8"/>
        <v>0.7</v>
      </c>
    </row>
    <row r="121" spans="1:7">
      <c r="A121" s="2">
        <v>9</v>
      </c>
      <c r="B121" s="1" t="s">
        <v>173</v>
      </c>
      <c r="C121" s="1" t="s">
        <v>111</v>
      </c>
      <c r="D121" s="1">
        <v>10</v>
      </c>
      <c r="E121" s="1">
        <v>0</v>
      </c>
      <c r="F121" s="1">
        <v>700</v>
      </c>
      <c r="G121" s="24">
        <f t="shared" si="8"/>
        <v>7</v>
      </c>
    </row>
    <row r="122" spans="1:7">
      <c r="A122" s="2">
        <v>10</v>
      </c>
      <c r="B122" s="1" t="s">
        <v>174</v>
      </c>
      <c r="C122" s="1" t="s">
        <v>111</v>
      </c>
      <c r="D122" s="1">
        <v>10</v>
      </c>
      <c r="E122" s="1">
        <v>0</v>
      </c>
      <c r="F122" s="1">
        <v>700</v>
      </c>
      <c r="G122" s="24">
        <f t="shared" si="8"/>
        <v>7</v>
      </c>
    </row>
    <row r="123" spans="1:7">
      <c r="B123" t="s">
        <v>10</v>
      </c>
      <c r="D123">
        <f>SUM(D113:D122)</f>
        <v>290</v>
      </c>
      <c r="E123" s="17">
        <f>SUM(E113:E122)</f>
        <v>200</v>
      </c>
      <c r="F123" s="3"/>
      <c r="G123" s="9">
        <f>SUM(G113:G122)</f>
        <v>118.5</v>
      </c>
    </row>
    <row r="124" spans="1:7">
      <c r="F124" s="11" t="s">
        <v>28</v>
      </c>
      <c r="G124" s="12">
        <f>G123*3</f>
        <v>355.5</v>
      </c>
    </row>
    <row r="125" spans="1:7">
      <c r="F125" s="13" t="s">
        <v>14</v>
      </c>
      <c r="G125" s="13">
        <v>360</v>
      </c>
    </row>
    <row r="126" spans="1:7">
      <c r="B126" s="14" t="s">
        <v>180</v>
      </c>
    </row>
    <row r="127" spans="1:7" ht="36">
      <c r="A127" s="4" t="s">
        <v>12</v>
      </c>
      <c r="B127" s="4" t="s">
        <v>0</v>
      </c>
      <c r="C127" s="4" t="s">
        <v>1</v>
      </c>
      <c r="D127" s="4" t="s">
        <v>2</v>
      </c>
      <c r="E127" s="4" t="s">
        <v>3</v>
      </c>
      <c r="F127" s="5" t="s">
        <v>39</v>
      </c>
      <c r="G127" s="5" t="s">
        <v>15</v>
      </c>
    </row>
    <row r="128" spans="1:7">
      <c r="A128" s="1">
        <v>1</v>
      </c>
      <c r="B128" s="1" t="s">
        <v>104</v>
      </c>
      <c r="C128" s="1" t="s">
        <v>5</v>
      </c>
      <c r="D128" s="1">
        <v>75</v>
      </c>
      <c r="E128" s="1">
        <v>70</v>
      </c>
      <c r="F128" s="1">
        <v>185</v>
      </c>
      <c r="G128" s="24">
        <f>D128*F128/1000</f>
        <v>13.875</v>
      </c>
    </row>
    <row r="129" spans="1:11">
      <c r="A129" s="1">
        <v>2</v>
      </c>
      <c r="B129" s="1" t="s">
        <v>35</v>
      </c>
      <c r="C129" s="1" t="s">
        <v>5</v>
      </c>
      <c r="D129" s="1">
        <v>65</v>
      </c>
      <c r="E129" s="1">
        <v>50</v>
      </c>
      <c r="F129" s="1">
        <v>175</v>
      </c>
      <c r="G129" s="24">
        <f t="shared" ref="G129:G136" si="9">D129*F129/1000</f>
        <v>11.375</v>
      </c>
    </row>
    <row r="130" spans="1:11">
      <c r="A130" s="1">
        <v>3</v>
      </c>
      <c r="B130" s="1" t="s">
        <v>750</v>
      </c>
      <c r="C130" s="1" t="s">
        <v>5</v>
      </c>
      <c r="D130" s="1">
        <v>15</v>
      </c>
      <c r="E130" s="1">
        <v>10</v>
      </c>
      <c r="F130" s="1">
        <v>250</v>
      </c>
      <c r="G130" s="24">
        <f t="shared" si="9"/>
        <v>3.75</v>
      </c>
    </row>
    <row r="131" spans="1:11">
      <c r="A131" s="1">
        <v>4</v>
      </c>
      <c r="B131" s="1" t="s">
        <v>176</v>
      </c>
      <c r="C131" s="1" t="s">
        <v>5</v>
      </c>
      <c r="D131" s="1">
        <v>45</v>
      </c>
      <c r="E131" s="1">
        <v>35</v>
      </c>
      <c r="F131" s="1">
        <v>250</v>
      </c>
      <c r="G131" s="24">
        <f t="shared" si="9"/>
        <v>11.25</v>
      </c>
    </row>
    <row r="132" spans="1:11">
      <c r="A132" s="1">
        <v>5</v>
      </c>
      <c r="B132" s="1" t="s">
        <v>177</v>
      </c>
      <c r="C132" s="1" t="s">
        <v>5</v>
      </c>
      <c r="D132" s="1">
        <v>20</v>
      </c>
      <c r="E132" s="1">
        <v>15</v>
      </c>
      <c r="F132" s="1">
        <v>150</v>
      </c>
      <c r="G132" s="24">
        <f t="shared" si="9"/>
        <v>3</v>
      </c>
    </row>
    <row r="133" spans="1:11">
      <c r="A133" s="1">
        <v>6</v>
      </c>
      <c r="B133" s="1" t="s">
        <v>178</v>
      </c>
      <c r="C133" s="1" t="s">
        <v>5</v>
      </c>
      <c r="D133" s="1">
        <v>40</v>
      </c>
      <c r="E133" s="1">
        <v>40</v>
      </c>
      <c r="F133" s="1">
        <v>1000</v>
      </c>
      <c r="G133" s="24">
        <f t="shared" si="9"/>
        <v>40</v>
      </c>
    </row>
    <row r="134" spans="1:11">
      <c r="A134" s="1">
        <v>7</v>
      </c>
      <c r="B134" s="1" t="s">
        <v>179</v>
      </c>
      <c r="C134" s="1" t="s">
        <v>5</v>
      </c>
      <c r="D134" s="1">
        <v>40</v>
      </c>
      <c r="E134" s="1">
        <v>30</v>
      </c>
      <c r="F134" s="1">
        <v>850</v>
      </c>
      <c r="G134" s="24">
        <f t="shared" si="9"/>
        <v>34</v>
      </c>
    </row>
    <row r="135" spans="1:11">
      <c r="A135" s="1">
        <v>8</v>
      </c>
      <c r="B135" s="1" t="s">
        <v>138</v>
      </c>
      <c r="C135" s="1" t="s">
        <v>5</v>
      </c>
      <c r="D135" s="1">
        <v>10</v>
      </c>
      <c r="E135" s="1"/>
      <c r="F135" s="1">
        <v>850</v>
      </c>
      <c r="G135" s="24">
        <f t="shared" si="9"/>
        <v>8.5</v>
      </c>
    </row>
    <row r="136" spans="1:11">
      <c r="A136" s="1">
        <v>9</v>
      </c>
      <c r="B136" s="1" t="s">
        <v>137</v>
      </c>
      <c r="C136" s="1" t="s">
        <v>5</v>
      </c>
      <c r="D136" s="1">
        <v>5</v>
      </c>
      <c r="E136" s="1"/>
      <c r="F136" s="1">
        <v>50</v>
      </c>
      <c r="G136" s="24">
        <f t="shared" si="9"/>
        <v>0.25</v>
      </c>
    </row>
    <row r="137" spans="1:11">
      <c r="B137" s="10" t="s">
        <v>10</v>
      </c>
      <c r="D137">
        <f>SUM(D128:D136)</f>
        <v>315</v>
      </c>
      <c r="E137" s="29">
        <f>SUM(E128:E136)</f>
        <v>250</v>
      </c>
      <c r="F137" s="3"/>
      <c r="G137" s="9">
        <f>SUM(G128:G136)</f>
        <v>126</v>
      </c>
    </row>
    <row r="138" spans="1:11">
      <c r="F138" s="11" t="s">
        <v>28</v>
      </c>
      <c r="G138" s="12">
        <f>G137*3</f>
        <v>378</v>
      </c>
    </row>
    <row r="139" spans="1:11">
      <c r="F139" s="13" t="s">
        <v>14</v>
      </c>
      <c r="G139" s="13">
        <v>410</v>
      </c>
    </row>
    <row r="140" spans="1:11">
      <c r="B140" s="14" t="s">
        <v>183</v>
      </c>
    </row>
    <row r="141" spans="1:11" ht="36">
      <c r="A141" s="4" t="s">
        <v>12</v>
      </c>
      <c r="B141" s="4" t="s">
        <v>0</v>
      </c>
      <c r="C141" s="4" t="s">
        <v>1</v>
      </c>
      <c r="D141" s="4" t="s">
        <v>2</v>
      </c>
      <c r="E141" s="4" t="s">
        <v>3</v>
      </c>
      <c r="F141" s="5" t="s">
        <v>39</v>
      </c>
      <c r="G141" s="5" t="s">
        <v>15</v>
      </c>
    </row>
    <row r="142" spans="1:11">
      <c r="A142" s="2">
        <v>1</v>
      </c>
      <c r="B142" s="1" t="s">
        <v>181</v>
      </c>
      <c r="C142" s="1" t="s">
        <v>5</v>
      </c>
      <c r="D142" s="1">
        <v>60</v>
      </c>
      <c r="E142" s="1">
        <v>50</v>
      </c>
      <c r="F142" s="1">
        <v>850</v>
      </c>
      <c r="G142" s="254">
        <f>D142*F142/1000</f>
        <v>51</v>
      </c>
      <c r="H142" s="252" t="s">
        <v>550</v>
      </c>
      <c r="I142" s="252"/>
      <c r="J142" s="252"/>
      <c r="K142" s="252"/>
    </row>
    <row r="143" spans="1:11">
      <c r="A143" s="2">
        <v>2</v>
      </c>
      <c r="B143" s="1" t="s">
        <v>33</v>
      </c>
      <c r="C143" s="1" t="s">
        <v>5</v>
      </c>
      <c r="D143" s="1">
        <v>60</v>
      </c>
      <c r="E143" s="1">
        <v>55</v>
      </c>
      <c r="F143" s="1">
        <v>850</v>
      </c>
      <c r="G143" s="24">
        <f t="shared" ref="G143:G150" si="10">D143*F143/1000</f>
        <v>51</v>
      </c>
    </row>
    <row r="144" spans="1:11">
      <c r="A144" s="2">
        <v>3</v>
      </c>
      <c r="B144" s="1" t="s">
        <v>34</v>
      </c>
      <c r="C144" s="1" t="s">
        <v>5</v>
      </c>
      <c r="D144" s="1">
        <v>45</v>
      </c>
      <c r="E144" s="1">
        <v>40</v>
      </c>
      <c r="F144" s="1">
        <v>185</v>
      </c>
      <c r="G144" s="24">
        <f t="shared" si="10"/>
        <v>8.3249999999999993</v>
      </c>
    </row>
    <row r="145" spans="1:7">
      <c r="A145" s="2">
        <v>4</v>
      </c>
      <c r="B145" s="1" t="s">
        <v>35</v>
      </c>
      <c r="C145" s="1" t="s">
        <v>5</v>
      </c>
      <c r="D145" s="1">
        <v>35</v>
      </c>
      <c r="E145" s="1">
        <v>30</v>
      </c>
      <c r="F145" s="1">
        <v>175</v>
      </c>
      <c r="G145" s="24">
        <f t="shared" si="10"/>
        <v>6.125</v>
      </c>
    </row>
    <row r="146" spans="1:7">
      <c r="A146" s="2">
        <v>5</v>
      </c>
      <c r="B146" s="1" t="s">
        <v>182</v>
      </c>
      <c r="C146" s="1" t="s">
        <v>5</v>
      </c>
      <c r="D146" s="1">
        <v>80</v>
      </c>
      <c r="E146" s="1">
        <v>60</v>
      </c>
      <c r="F146" s="1">
        <v>250</v>
      </c>
      <c r="G146" s="24">
        <f t="shared" si="10"/>
        <v>20</v>
      </c>
    </row>
    <row r="147" spans="1:7">
      <c r="A147" s="2">
        <v>6</v>
      </c>
      <c r="B147" s="1" t="s">
        <v>127</v>
      </c>
      <c r="C147" s="1" t="s">
        <v>5</v>
      </c>
      <c r="D147" s="1">
        <v>10</v>
      </c>
      <c r="E147" s="1">
        <v>10</v>
      </c>
      <c r="F147" s="1">
        <v>850</v>
      </c>
      <c r="G147" s="24">
        <f t="shared" si="10"/>
        <v>8.5</v>
      </c>
    </row>
    <row r="148" spans="1:7">
      <c r="A148" s="2">
        <v>7</v>
      </c>
      <c r="B148" s="1" t="s">
        <v>128</v>
      </c>
      <c r="C148" s="1" t="s">
        <v>5</v>
      </c>
      <c r="D148" s="1">
        <v>5</v>
      </c>
      <c r="E148" s="1">
        <v>5</v>
      </c>
      <c r="F148" s="1">
        <v>70</v>
      </c>
      <c r="G148" s="24">
        <f t="shared" si="10"/>
        <v>0.35</v>
      </c>
    </row>
    <row r="149" spans="1:7">
      <c r="A149" s="2">
        <v>8</v>
      </c>
      <c r="B149" s="1" t="s">
        <v>117</v>
      </c>
      <c r="C149" s="1" t="s">
        <v>5</v>
      </c>
      <c r="D149" s="1">
        <v>1</v>
      </c>
      <c r="E149" s="1">
        <v>1</v>
      </c>
      <c r="F149" s="1">
        <v>10</v>
      </c>
      <c r="G149" s="24">
        <f t="shared" si="10"/>
        <v>0.01</v>
      </c>
    </row>
    <row r="150" spans="1:7">
      <c r="A150" s="2">
        <v>9</v>
      </c>
      <c r="B150" s="1" t="s">
        <v>137</v>
      </c>
      <c r="C150" s="1" t="s">
        <v>5</v>
      </c>
      <c r="D150" s="1">
        <v>1</v>
      </c>
      <c r="E150" s="1">
        <v>1</v>
      </c>
      <c r="F150" s="1">
        <v>10</v>
      </c>
      <c r="G150" s="24">
        <f t="shared" si="10"/>
        <v>0.01</v>
      </c>
    </row>
    <row r="151" spans="1:7">
      <c r="B151" s="10" t="s">
        <v>10</v>
      </c>
      <c r="D151">
        <f>SUM(D142:D150)</f>
        <v>297</v>
      </c>
      <c r="E151" s="29">
        <f>SUM(E142:E150)</f>
        <v>252</v>
      </c>
      <c r="F151" s="3"/>
      <c r="G151" s="9">
        <f>SUM(G142:G150)</f>
        <v>145.31999999999996</v>
      </c>
    </row>
    <row r="152" spans="1:7">
      <c r="F152" s="11" t="s">
        <v>28</v>
      </c>
      <c r="G152" s="12">
        <f>G151*3</f>
        <v>435.95999999999992</v>
      </c>
    </row>
    <row r="153" spans="1:7">
      <c r="F153" s="13" t="s">
        <v>14</v>
      </c>
      <c r="G153" s="13">
        <v>440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K132"/>
  <sheetViews>
    <sheetView topLeftCell="A109" workbookViewId="0">
      <selection activeCell="I125" sqref="I125"/>
    </sheetView>
  </sheetViews>
  <sheetFormatPr defaultRowHeight="15"/>
  <cols>
    <col min="1" max="1" width="4.42578125" customWidth="1"/>
    <col min="2" max="2" width="27.28515625" customWidth="1"/>
    <col min="6" max="6" width="10.28515625" customWidth="1"/>
  </cols>
  <sheetData>
    <row r="1" spans="1:11">
      <c r="B1" s="14" t="s">
        <v>195</v>
      </c>
    </row>
    <row r="2" spans="1:11" ht="36">
      <c r="A2" s="4" t="s">
        <v>12</v>
      </c>
      <c r="B2" s="4" t="s">
        <v>0</v>
      </c>
      <c r="C2" s="4" t="s">
        <v>1</v>
      </c>
      <c r="D2" s="4" t="s">
        <v>2</v>
      </c>
      <c r="E2" s="4" t="s">
        <v>3</v>
      </c>
      <c r="F2" s="5" t="s">
        <v>39</v>
      </c>
      <c r="G2" s="5" t="s">
        <v>15</v>
      </c>
    </row>
    <row r="3" spans="1:11">
      <c r="A3" s="2">
        <v>1</v>
      </c>
      <c r="B3" s="1" t="s">
        <v>186</v>
      </c>
      <c r="C3" s="1" t="s">
        <v>187</v>
      </c>
      <c r="D3" s="1">
        <v>1</v>
      </c>
      <c r="E3" s="1">
        <v>90</v>
      </c>
      <c r="F3" s="1">
        <v>15</v>
      </c>
      <c r="G3" s="24">
        <v>15</v>
      </c>
    </row>
    <row r="4" spans="1:11">
      <c r="A4" s="2">
        <v>2</v>
      </c>
      <c r="B4" s="1" t="s">
        <v>188</v>
      </c>
      <c r="C4" s="1" t="s">
        <v>111</v>
      </c>
      <c r="D4" s="1">
        <v>120</v>
      </c>
      <c r="E4" s="1">
        <v>100</v>
      </c>
      <c r="F4" s="1">
        <v>250</v>
      </c>
      <c r="G4" s="254">
        <f t="shared" ref="G4:G14" si="0">D4*F4/1000</f>
        <v>30</v>
      </c>
      <c r="H4" s="252" t="s">
        <v>551</v>
      </c>
      <c r="I4" s="252"/>
      <c r="J4" s="252"/>
      <c r="K4" s="252"/>
    </row>
    <row r="5" spans="1:11">
      <c r="A5" s="2">
        <v>3</v>
      </c>
      <c r="B5" s="1" t="s">
        <v>157</v>
      </c>
      <c r="C5" s="1" t="s">
        <v>111</v>
      </c>
      <c r="D5" s="1">
        <v>5</v>
      </c>
      <c r="E5" s="1">
        <v>0</v>
      </c>
      <c r="F5" s="1">
        <v>250</v>
      </c>
      <c r="G5" s="24">
        <f t="shared" si="0"/>
        <v>1.25</v>
      </c>
    </row>
    <row r="6" spans="1:11">
      <c r="A6" s="2">
        <v>4</v>
      </c>
      <c r="B6" s="1" t="s">
        <v>163</v>
      </c>
      <c r="C6" s="1" t="s">
        <v>111</v>
      </c>
      <c r="D6" s="1">
        <v>30</v>
      </c>
      <c r="E6" s="1">
        <v>30</v>
      </c>
      <c r="F6" s="1">
        <v>175</v>
      </c>
      <c r="G6" s="24">
        <f t="shared" si="0"/>
        <v>5.25</v>
      </c>
    </row>
    <row r="7" spans="1:11">
      <c r="A7" s="2">
        <v>5</v>
      </c>
      <c r="B7" s="1" t="s">
        <v>170</v>
      </c>
      <c r="C7" s="1" t="s">
        <v>111</v>
      </c>
      <c r="D7" s="1">
        <v>30</v>
      </c>
      <c r="E7" s="1">
        <v>30</v>
      </c>
      <c r="F7" s="1">
        <v>185</v>
      </c>
      <c r="G7" s="24">
        <f t="shared" si="0"/>
        <v>5.55</v>
      </c>
    </row>
    <row r="8" spans="1:11">
      <c r="A8" s="2">
        <v>6</v>
      </c>
      <c r="B8" s="1" t="s">
        <v>37</v>
      </c>
      <c r="C8" s="1" t="s">
        <v>111</v>
      </c>
      <c r="D8" s="1">
        <v>20</v>
      </c>
      <c r="E8" s="1">
        <v>0</v>
      </c>
      <c r="F8" s="1">
        <v>160</v>
      </c>
      <c r="G8" s="24">
        <f t="shared" si="0"/>
        <v>3.2</v>
      </c>
    </row>
    <row r="9" spans="1:11">
      <c r="A9" s="2">
        <v>7</v>
      </c>
      <c r="B9" s="1" t="s">
        <v>189</v>
      </c>
      <c r="C9" s="1" t="s">
        <v>111</v>
      </c>
      <c r="D9" s="1">
        <v>5</v>
      </c>
      <c r="E9" s="1">
        <v>0</v>
      </c>
      <c r="F9" s="1">
        <v>70</v>
      </c>
      <c r="G9" s="24">
        <f t="shared" si="0"/>
        <v>0.35</v>
      </c>
    </row>
    <row r="10" spans="1:11">
      <c r="A10" s="2">
        <v>8</v>
      </c>
      <c r="B10" s="1" t="s">
        <v>190</v>
      </c>
      <c r="C10" s="1" t="s">
        <v>111</v>
      </c>
      <c r="D10" s="1">
        <v>10</v>
      </c>
      <c r="E10" s="1">
        <v>10</v>
      </c>
      <c r="F10" s="1">
        <v>10</v>
      </c>
      <c r="G10" s="24">
        <f t="shared" si="0"/>
        <v>0.1</v>
      </c>
    </row>
    <row r="11" spans="1:11">
      <c r="A11" s="2">
        <v>9</v>
      </c>
      <c r="B11" s="1" t="s">
        <v>191</v>
      </c>
      <c r="C11" s="1" t="s">
        <v>111</v>
      </c>
      <c r="D11" s="1">
        <v>120</v>
      </c>
      <c r="E11" s="1">
        <v>100</v>
      </c>
      <c r="F11" s="1">
        <v>843</v>
      </c>
      <c r="G11" s="254">
        <f t="shared" si="0"/>
        <v>101.16</v>
      </c>
      <c r="H11" s="252"/>
      <c r="I11" s="252"/>
      <c r="J11" s="252"/>
      <c r="K11" s="252"/>
    </row>
    <row r="12" spans="1:11">
      <c r="A12" s="2">
        <v>10</v>
      </c>
      <c r="B12" s="1" t="s">
        <v>192</v>
      </c>
      <c r="C12" s="1" t="s">
        <v>111</v>
      </c>
      <c r="D12" s="1">
        <v>5</v>
      </c>
      <c r="E12" s="1">
        <v>5</v>
      </c>
      <c r="F12" s="1">
        <v>70</v>
      </c>
      <c r="G12" s="24">
        <f t="shared" si="0"/>
        <v>0.35</v>
      </c>
    </row>
    <row r="13" spans="1:11">
      <c r="A13" s="2">
        <v>11</v>
      </c>
      <c r="B13" s="1" t="s">
        <v>193</v>
      </c>
      <c r="C13" s="1" t="s">
        <v>111</v>
      </c>
      <c r="D13" s="1">
        <v>10</v>
      </c>
      <c r="E13" s="1">
        <v>7</v>
      </c>
      <c r="F13" s="1">
        <v>350</v>
      </c>
      <c r="G13" s="24">
        <f t="shared" si="0"/>
        <v>3.5</v>
      </c>
    </row>
    <row r="14" spans="1:11">
      <c r="A14" s="2">
        <v>12</v>
      </c>
      <c r="B14" s="1" t="s">
        <v>194</v>
      </c>
      <c r="C14" s="1" t="s">
        <v>111</v>
      </c>
      <c r="D14" s="1">
        <v>10</v>
      </c>
      <c r="E14" s="1">
        <v>10</v>
      </c>
      <c r="F14" s="1">
        <v>370</v>
      </c>
      <c r="G14" s="24">
        <f t="shared" si="0"/>
        <v>3.7</v>
      </c>
    </row>
    <row r="15" spans="1:11">
      <c r="A15" s="339"/>
      <c r="B15" s="292" t="s">
        <v>757</v>
      </c>
      <c r="C15" s="340"/>
      <c r="D15" s="292">
        <v>1</v>
      </c>
      <c r="E15" s="340"/>
      <c r="F15" s="292">
        <v>80</v>
      </c>
      <c r="G15" s="341">
        <v>80</v>
      </c>
    </row>
    <row r="16" spans="1:11">
      <c r="B16" t="s">
        <v>10</v>
      </c>
      <c r="D16">
        <f>SUM(D3:D15)</f>
        <v>367</v>
      </c>
      <c r="E16" s="29">
        <f>SUM(E3:E14)</f>
        <v>382</v>
      </c>
      <c r="F16" s="3"/>
      <c r="G16" s="9">
        <f>SUM(G3:G15)</f>
        <v>249.41</v>
      </c>
    </row>
    <row r="17" spans="1:11" ht="15.6" customHeight="1">
      <c r="F17" s="245" t="s">
        <v>60</v>
      </c>
      <c r="G17" s="246">
        <f>G16*2</f>
        <v>498.82</v>
      </c>
    </row>
    <row r="18" spans="1:11" ht="24">
      <c r="F18" s="247" t="s">
        <v>14</v>
      </c>
      <c r="G18" s="248">
        <v>450</v>
      </c>
    </row>
    <row r="19" spans="1:11">
      <c r="B19" s="14" t="s">
        <v>198</v>
      </c>
    </row>
    <row r="20" spans="1:11" ht="36">
      <c r="A20" s="4" t="s">
        <v>12</v>
      </c>
      <c r="B20" s="4" t="s">
        <v>0</v>
      </c>
      <c r="C20" s="4" t="s">
        <v>1</v>
      </c>
      <c r="D20" s="4" t="s">
        <v>2</v>
      </c>
      <c r="E20" s="4" t="s">
        <v>3</v>
      </c>
      <c r="F20" s="5" t="s">
        <v>39</v>
      </c>
      <c r="G20" s="5" t="s">
        <v>15</v>
      </c>
    </row>
    <row r="21" spans="1:11">
      <c r="A21" s="2">
        <v>1</v>
      </c>
      <c r="B21" s="1" t="s">
        <v>186</v>
      </c>
      <c r="C21" s="1" t="s">
        <v>187</v>
      </c>
      <c r="D21" s="1">
        <v>1</v>
      </c>
      <c r="E21" s="1">
        <v>90</v>
      </c>
      <c r="F21" s="1">
        <v>15</v>
      </c>
      <c r="G21" s="24">
        <v>15</v>
      </c>
    </row>
    <row r="22" spans="1:11">
      <c r="A22" s="2">
        <v>2</v>
      </c>
      <c r="B22" s="1" t="s">
        <v>188</v>
      </c>
      <c r="C22" s="1" t="s">
        <v>5</v>
      </c>
      <c r="D22" s="1">
        <v>120</v>
      </c>
      <c r="E22" s="1">
        <v>100</v>
      </c>
      <c r="F22" s="1">
        <v>240</v>
      </c>
      <c r="G22" s="254">
        <f>D22*F22/1000</f>
        <v>28.8</v>
      </c>
      <c r="H22" s="252"/>
      <c r="I22" s="252"/>
      <c r="J22" s="252"/>
      <c r="K22" s="252"/>
    </row>
    <row r="23" spans="1:11">
      <c r="A23" s="2">
        <v>3</v>
      </c>
      <c r="B23" s="1" t="s">
        <v>169</v>
      </c>
      <c r="C23" s="1" t="s">
        <v>111</v>
      </c>
      <c r="D23" s="1">
        <v>10</v>
      </c>
      <c r="E23" s="1">
        <v>0</v>
      </c>
      <c r="F23" s="1">
        <v>80</v>
      </c>
      <c r="G23" s="24">
        <f t="shared" ref="G23:G33" si="1">D23*F23/1000</f>
        <v>0.8</v>
      </c>
    </row>
    <row r="24" spans="1:11">
      <c r="A24" s="2">
        <v>4</v>
      </c>
      <c r="B24" s="1" t="s">
        <v>163</v>
      </c>
      <c r="C24" s="1" t="s">
        <v>111</v>
      </c>
      <c r="D24" s="1">
        <v>30</v>
      </c>
      <c r="E24" s="1">
        <v>30</v>
      </c>
      <c r="F24" s="1">
        <v>170</v>
      </c>
      <c r="G24" s="24">
        <f t="shared" si="1"/>
        <v>5.0999999999999996</v>
      </c>
    </row>
    <row r="25" spans="1:11">
      <c r="A25" s="2">
        <v>5</v>
      </c>
      <c r="B25" s="1" t="s">
        <v>170</v>
      </c>
      <c r="C25" s="1" t="s">
        <v>5</v>
      </c>
      <c r="D25" s="1">
        <v>30</v>
      </c>
      <c r="E25" s="1">
        <v>30</v>
      </c>
      <c r="F25" s="1">
        <v>185</v>
      </c>
      <c r="G25" s="24">
        <f t="shared" si="1"/>
        <v>5.55</v>
      </c>
    </row>
    <row r="26" spans="1:11">
      <c r="A26" s="2">
        <v>6</v>
      </c>
      <c r="B26" s="1" t="s">
        <v>37</v>
      </c>
      <c r="C26" s="1" t="s">
        <v>5</v>
      </c>
      <c r="D26" s="1">
        <v>20</v>
      </c>
      <c r="E26" s="1">
        <v>0</v>
      </c>
      <c r="F26" s="1">
        <v>160</v>
      </c>
      <c r="G26" s="24">
        <f t="shared" si="1"/>
        <v>3.2</v>
      </c>
    </row>
    <row r="27" spans="1:11">
      <c r="A27" s="2">
        <v>7</v>
      </c>
      <c r="B27" s="1" t="s">
        <v>189</v>
      </c>
      <c r="C27" s="1" t="s">
        <v>5</v>
      </c>
      <c r="D27" s="1">
        <v>5</v>
      </c>
      <c r="E27" s="1">
        <v>0</v>
      </c>
      <c r="F27" s="1">
        <v>70</v>
      </c>
      <c r="G27" s="24">
        <f t="shared" si="1"/>
        <v>0.35</v>
      </c>
    </row>
    <row r="28" spans="1:11">
      <c r="A28" s="2">
        <v>8</v>
      </c>
      <c r="B28" s="1" t="s">
        <v>190</v>
      </c>
      <c r="C28" s="1" t="s">
        <v>5</v>
      </c>
      <c r="D28" s="1">
        <v>10</v>
      </c>
      <c r="E28" s="1">
        <v>10</v>
      </c>
      <c r="F28" s="1">
        <v>150</v>
      </c>
      <c r="G28" s="24">
        <f t="shared" si="1"/>
        <v>1.5</v>
      </c>
    </row>
    <row r="29" spans="1:11">
      <c r="A29" s="2">
        <v>9</v>
      </c>
      <c r="B29" s="1" t="s">
        <v>196</v>
      </c>
      <c r="C29" s="1" t="s">
        <v>111</v>
      </c>
      <c r="D29" s="1">
        <v>120</v>
      </c>
      <c r="E29" s="1">
        <v>100</v>
      </c>
      <c r="F29" s="1">
        <v>850</v>
      </c>
      <c r="G29" s="24">
        <f t="shared" si="1"/>
        <v>102</v>
      </c>
    </row>
    <row r="30" spans="1:11">
      <c r="A30" s="2">
        <v>10</v>
      </c>
      <c r="B30" s="1" t="s">
        <v>141</v>
      </c>
      <c r="C30" s="1" t="s">
        <v>111</v>
      </c>
      <c r="D30" s="1">
        <v>1</v>
      </c>
      <c r="E30" s="1">
        <v>0</v>
      </c>
      <c r="F30" s="1">
        <v>850</v>
      </c>
      <c r="G30" s="24">
        <f t="shared" si="1"/>
        <v>0.85</v>
      </c>
    </row>
    <row r="31" spans="1:11">
      <c r="A31" s="2">
        <v>11</v>
      </c>
      <c r="B31" s="1" t="s">
        <v>193</v>
      </c>
      <c r="C31" s="1" t="s">
        <v>111</v>
      </c>
      <c r="D31" s="1">
        <v>10</v>
      </c>
      <c r="E31" s="1">
        <v>0</v>
      </c>
      <c r="F31" s="1">
        <v>250</v>
      </c>
      <c r="G31" s="24">
        <f t="shared" si="1"/>
        <v>2.5</v>
      </c>
    </row>
    <row r="32" spans="1:11">
      <c r="A32" s="2">
        <v>12</v>
      </c>
      <c r="B32" s="1" t="s">
        <v>197</v>
      </c>
      <c r="C32" s="1" t="s">
        <v>111</v>
      </c>
      <c r="D32" s="1">
        <v>5</v>
      </c>
      <c r="E32" s="1">
        <v>0</v>
      </c>
      <c r="F32" s="1">
        <v>70</v>
      </c>
      <c r="G32" s="24">
        <f t="shared" si="1"/>
        <v>0.35</v>
      </c>
    </row>
    <row r="33" spans="1:7">
      <c r="A33" s="2">
        <v>13</v>
      </c>
      <c r="B33" s="1" t="s">
        <v>52</v>
      </c>
      <c r="C33" s="1" t="s">
        <v>111</v>
      </c>
      <c r="D33" s="1">
        <v>10</v>
      </c>
      <c r="E33" s="1">
        <v>10</v>
      </c>
      <c r="F33" s="1">
        <v>1000</v>
      </c>
      <c r="G33" s="24">
        <f t="shared" si="1"/>
        <v>10</v>
      </c>
    </row>
    <row r="34" spans="1:7">
      <c r="A34" s="339"/>
      <c r="B34" s="292" t="s">
        <v>757</v>
      </c>
      <c r="C34" s="340"/>
      <c r="D34" s="292">
        <v>1</v>
      </c>
      <c r="E34" s="340"/>
      <c r="F34" s="292">
        <v>80</v>
      </c>
      <c r="G34" s="341">
        <v>80</v>
      </c>
    </row>
    <row r="35" spans="1:7">
      <c r="B35" t="s">
        <v>10</v>
      </c>
      <c r="D35">
        <f>SUM(D21:D34)</f>
        <v>373</v>
      </c>
      <c r="E35" s="29">
        <f>SUM(E21:E33)</f>
        <v>370</v>
      </c>
      <c r="F35" s="3"/>
      <c r="G35" s="9">
        <f>SUM(G22:G34)</f>
        <v>241</v>
      </c>
    </row>
    <row r="36" spans="1:7">
      <c r="F36" s="245" t="s">
        <v>29</v>
      </c>
      <c r="G36" s="246">
        <f>G35*2.5</f>
        <v>602.5</v>
      </c>
    </row>
    <row r="37" spans="1:7" ht="24">
      <c r="F37" s="247" t="s">
        <v>14</v>
      </c>
      <c r="G37" s="248">
        <v>440</v>
      </c>
    </row>
    <row r="38" spans="1:7">
      <c r="B38" s="14" t="s">
        <v>201</v>
      </c>
    </row>
    <row r="39" spans="1:7" ht="36">
      <c r="A39" s="4" t="s">
        <v>12</v>
      </c>
      <c r="B39" s="4" t="s">
        <v>0</v>
      </c>
      <c r="C39" s="4" t="s">
        <v>1</v>
      </c>
      <c r="D39" s="4" t="s">
        <v>2</v>
      </c>
      <c r="E39" s="4" t="s">
        <v>3</v>
      </c>
      <c r="F39" s="5" t="s">
        <v>39</v>
      </c>
      <c r="G39" s="5" t="s">
        <v>15</v>
      </c>
    </row>
    <row r="40" spans="1:7">
      <c r="A40" s="2">
        <v>1</v>
      </c>
      <c r="B40" s="1" t="s">
        <v>186</v>
      </c>
      <c r="C40" s="1" t="s">
        <v>111</v>
      </c>
      <c r="D40" s="1">
        <v>1</v>
      </c>
      <c r="E40" s="1">
        <v>90</v>
      </c>
      <c r="F40" s="1">
        <v>15</v>
      </c>
      <c r="G40" s="24">
        <f>F40</f>
        <v>15</v>
      </c>
    </row>
    <row r="41" spans="1:7">
      <c r="A41" s="2">
        <v>2</v>
      </c>
      <c r="B41" s="1" t="s">
        <v>188</v>
      </c>
      <c r="C41" s="1" t="s">
        <v>5</v>
      </c>
      <c r="D41" s="1">
        <v>120</v>
      </c>
      <c r="E41" s="1">
        <v>100</v>
      </c>
      <c r="F41" s="1">
        <v>240</v>
      </c>
      <c r="G41" s="24">
        <f t="shared" ref="G41:G50" si="2">D41*F41/1000</f>
        <v>28.8</v>
      </c>
    </row>
    <row r="42" spans="1:7">
      <c r="A42" s="2">
        <v>3</v>
      </c>
      <c r="B42" s="1" t="s">
        <v>141</v>
      </c>
      <c r="C42" s="1" t="s">
        <v>111</v>
      </c>
      <c r="D42" s="1">
        <v>1</v>
      </c>
      <c r="E42" s="1">
        <v>0</v>
      </c>
      <c r="F42" s="1">
        <v>850</v>
      </c>
      <c r="G42" s="24">
        <f t="shared" si="2"/>
        <v>0.85</v>
      </c>
    </row>
    <row r="43" spans="1:7">
      <c r="A43" s="2">
        <v>4</v>
      </c>
      <c r="B43" s="1" t="s">
        <v>163</v>
      </c>
      <c r="C43" s="1" t="s">
        <v>111</v>
      </c>
      <c r="D43" s="1">
        <v>30</v>
      </c>
      <c r="E43" s="1">
        <v>30</v>
      </c>
      <c r="F43" s="1">
        <v>175</v>
      </c>
      <c r="G43" s="24">
        <f t="shared" si="2"/>
        <v>5.25</v>
      </c>
    </row>
    <row r="44" spans="1:7">
      <c r="A44" s="2">
        <v>5</v>
      </c>
      <c r="B44" s="1" t="s">
        <v>170</v>
      </c>
      <c r="C44" s="1" t="s">
        <v>5</v>
      </c>
      <c r="D44" s="1">
        <v>30</v>
      </c>
      <c r="E44" s="1">
        <v>30</v>
      </c>
      <c r="F44" s="1">
        <v>185</v>
      </c>
      <c r="G44" s="24">
        <f t="shared" si="2"/>
        <v>5.55</v>
      </c>
    </row>
    <row r="45" spans="1:7">
      <c r="A45" s="2">
        <v>6</v>
      </c>
      <c r="B45" s="1" t="s">
        <v>37</v>
      </c>
      <c r="C45" s="1" t="s">
        <v>5</v>
      </c>
      <c r="D45" s="1">
        <v>20</v>
      </c>
      <c r="E45" s="1">
        <v>0</v>
      </c>
      <c r="F45" s="1">
        <v>126</v>
      </c>
      <c r="G45" s="24">
        <f t="shared" si="2"/>
        <v>2.52</v>
      </c>
    </row>
    <row r="46" spans="1:7">
      <c r="A46" s="2">
        <v>7</v>
      </c>
      <c r="B46" s="1" t="s">
        <v>189</v>
      </c>
      <c r="C46" s="1" t="s">
        <v>5</v>
      </c>
      <c r="D46" s="1">
        <v>5</v>
      </c>
      <c r="E46" s="1">
        <v>0</v>
      </c>
      <c r="F46" s="1">
        <v>70</v>
      </c>
      <c r="G46" s="24">
        <f t="shared" si="2"/>
        <v>0.35</v>
      </c>
    </row>
    <row r="47" spans="1:7">
      <c r="A47" s="2">
        <v>8</v>
      </c>
      <c r="B47" s="1" t="s">
        <v>190</v>
      </c>
      <c r="C47" s="1" t="s">
        <v>5</v>
      </c>
      <c r="D47" s="1">
        <v>15</v>
      </c>
      <c r="E47" s="1">
        <v>15</v>
      </c>
      <c r="F47" s="1">
        <v>175</v>
      </c>
      <c r="G47" s="24">
        <f t="shared" si="2"/>
        <v>2.625</v>
      </c>
    </row>
    <row r="48" spans="1:7">
      <c r="A48" s="2">
        <v>9</v>
      </c>
      <c r="B48" s="1" t="s">
        <v>566</v>
      </c>
      <c r="C48" s="1" t="s">
        <v>111</v>
      </c>
      <c r="D48" s="1">
        <v>120</v>
      </c>
      <c r="E48" s="1">
        <v>100</v>
      </c>
      <c r="F48" s="1">
        <v>383</v>
      </c>
      <c r="G48" s="24">
        <f t="shared" si="2"/>
        <v>45.96</v>
      </c>
    </row>
    <row r="49" spans="1:7">
      <c r="A49" s="2">
        <v>11</v>
      </c>
      <c r="B49" s="1" t="s">
        <v>193</v>
      </c>
      <c r="C49" s="1" t="s">
        <v>111</v>
      </c>
      <c r="D49" s="1">
        <v>10</v>
      </c>
      <c r="E49" s="1">
        <v>0</v>
      </c>
      <c r="F49" s="1">
        <v>850</v>
      </c>
      <c r="G49" s="24">
        <f t="shared" si="2"/>
        <v>8.5</v>
      </c>
    </row>
    <row r="50" spans="1:7">
      <c r="A50" s="2">
        <v>13</v>
      </c>
      <c r="B50" s="1" t="s">
        <v>194</v>
      </c>
      <c r="C50" s="1" t="s">
        <v>111</v>
      </c>
      <c r="D50" s="1">
        <v>10</v>
      </c>
      <c r="E50" s="1">
        <v>10</v>
      </c>
      <c r="F50" s="1">
        <v>370</v>
      </c>
      <c r="G50" s="24">
        <f t="shared" si="2"/>
        <v>3.7</v>
      </c>
    </row>
    <row r="51" spans="1:7">
      <c r="B51" t="s">
        <v>10</v>
      </c>
      <c r="D51">
        <f>SUM(D40:D50)</f>
        <v>362</v>
      </c>
      <c r="E51" s="29">
        <f>SUM(E40:E50)</f>
        <v>375</v>
      </c>
      <c r="F51" s="3"/>
      <c r="G51" s="9">
        <f>SUM(G41:G50)</f>
        <v>104.105</v>
      </c>
    </row>
    <row r="52" spans="1:7">
      <c r="F52" s="79" t="s">
        <v>28</v>
      </c>
      <c r="G52" s="12">
        <f>G51*3</f>
        <v>312.315</v>
      </c>
    </row>
    <row r="53" spans="1:7" ht="24">
      <c r="F53" s="80" t="s">
        <v>14</v>
      </c>
      <c r="G53" s="13">
        <v>355</v>
      </c>
    </row>
    <row r="54" spans="1:7">
      <c r="B54" s="14" t="s">
        <v>207</v>
      </c>
    </row>
    <row r="55" spans="1:7" ht="36">
      <c r="A55" s="1" t="s">
        <v>12</v>
      </c>
      <c r="B55" s="1" t="s">
        <v>0</v>
      </c>
      <c r="C55" s="1" t="s">
        <v>1</v>
      </c>
      <c r="D55" s="1" t="s">
        <v>2</v>
      </c>
      <c r="E55" s="1" t="s">
        <v>3</v>
      </c>
      <c r="F55" s="5" t="s">
        <v>39</v>
      </c>
      <c r="G55" s="30" t="s">
        <v>15</v>
      </c>
    </row>
    <row r="56" spans="1:7">
      <c r="A56" s="2">
        <v>1</v>
      </c>
      <c r="B56" s="1" t="s">
        <v>203</v>
      </c>
      <c r="C56" s="1" t="s">
        <v>111</v>
      </c>
      <c r="D56" s="1">
        <v>150</v>
      </c>
      <c r="E56" s="1">
        <v>100</v>
      </c>
      <c r="F56" s="1">
        <v>25</v>
      </c>
      <c r="G56" s="24">
        <f>F56</f>
        <v>25</v>
      </c>
    </row>
    <row r="57" spans="1:7">
      <c r="A57" s="2">
        <v>2</v>
      </c>
      <c r="B57" s="1" t="s">
        <v>36</v>
      </c>
      <c r="C57" s="1" t="s">
        <v>5</v>
      </c>
      <c r="D57" s="1">
        <v>40</v>
      </c>
      <c r="E57" s="1">
        <v>40</v>
      </c>
      <c r="F57" s="1">
        <v>1100</v>
      </c>
      <c r="G57" s="24">
        <f t="shared" ref="G57:G68" si="3">D57*F57/1000</f>
        <v>44</v>
      </c>
    </row>
    <row r="58" spans="1:7">
      <c r="A58" s="2">
        <v>3</v>
      </c>
      <c r="B58" s="1" t="s">
        <v>105</v>
      </c>
      <c r="C58" s="1" t="s">
        <v>111</v>
      </c>
      <c r="D58" s="1">
        <v>40</v>
      </c>
      <c r="E58" s="1">
        <v>30</v>
      </c>
      <c r="F58" s="1">
        <v>200</v>
      </c>
      <c r="G58" s="24">
        <f t="shared" si="3"/>
        <v>8</v>
      </c>
    </row>
    <row r="59" spans="1:7">
      <c r="A59" s="2">
        <v>4</v>
      </c>
      <c r="B59" s="1" t="s">
        <v>204</v>
      </c>
      <c r="C59" s="1" t="s">
        <v>111</v>
      </c>
      <c r="D59" s="1">
        <v>30</v>
      </c>
      <c r="E59" s="1">
        <v>25</v>
      </c>
      <c r="F59" s="1">
        <v>200</v>
      </c>
      <c r="G59" s="24">
        <f t="shared" si="3"/>
        <v>6</v>
      </c>
    </row>
    <row r="60" spans="1:7">
      <c r="A60" s="2">
        <v>5</v>
      </c>
      <c r="B60" s="1" t="s">
        <v>170</v>
      </c>
      <c r="C60" s="1" t="s">
        <v>5</v>
      </c>
      <c r="D60" s="1">
        <v>30</v>
      </c>
      <c r="E60" s="1">
        <v>30</v>
      </c>
      <c r="F60" s="1">
        <v>185</v>
      </c>
      <c r="G60" s="24">
        <f t="shared" si="3"/>
        <v>5.55</v>
      </c>
    </row>
    <row r="61" spans="1:7">
      <c r="A61" s="2">
        <v>6</v>
      </c>
      <c r="B61" s="1" t="s">
        <v>127</v>
      </c>
      <c r="C61" s="1" t="s">
        <v>5</v>
      </c>
      <c r="D61" s="1">
        <v>10</v>
      </c>
      <c r="E61" s="1">
        <v>0</v>
      </c>
      <c r="F61" s="1">
        <v>850</v>
      </c>
      <c r="G61" s="24">
        <f t="shared" si="3"/>
        <v>8.5</v>
      </c>
    </row>
    <row r="62" spans="1:7">
      <c r="A62" s="2">
        <v>7</v>
      </c>
      <c r="B62" s="1" t="s">
        <v>205</v>
      </c>
      <c r="C62" s="1" t="s">
        <v>5</v>
      </c>
      <c r="D62" s="1">
        <v>30</v>
      </c>
      <c r="E62" s="1">
        <v>25</v>
      </c>
      <c r="F62" s="1">
        <v>200</v>
      </c>
      <c r="G62" s="24">
        <f t="shared" si="3"/>
        <v>6</v>
      </c>
    </row>
    <row r="63" spans="1:7">
      <c r="A63" s="2">
        <v>8</v>
      </c>
      <c r="B63" s="1" t="s">
        <v>104</v>
      </c>
      <c r="C63" s="1" t="s">
        <v>5</v>
      </c>
      <c r="D63" s="1">
        <v>30</v>
      </c>
      <c r="E63" s="1">
        <v>25</v>
      </c>
      <c r="F63" s="1">
        <v>185</v>
      </c>
      <c r="G63" s="24">
        <f t="shared" si="3"/>
        <v>5.55</v>
      </c>
    </row>
    <row r="64" spans="1:7">
      <c r="A64" s="2">
        <v>9</v>
      </c>
      <c r="B64" s="1" t="s">
        <v>171</v>
      </c>
      <c r="C64" s="1" t="s">
        <v>111</v>
      </c>
      <c r="D64" s="1">
        <v>3</v>
      </c>
      <c r="E64" s="1">
        <v>0</v>
      </c>
      <c r="F64" s="1">
        <v>185</v>
      </c>
      <c r="G64" s="24">
        <f t="shared" si="3"/>
        <v>0.55500000000000005</v>
      </c>
    </row>
    <row r="65" spans="1:7">
      <c r="A65" s="2">
        <v>10</v>
      </c>
      <c r="B65" s="1" t="s">
        <v>141</v>
      </c>
      <c r="C65" s="1" t="s">
        <v>111</v>
      </c>
      <c r="D65" s="1">
        <v>3</v>
      </c>
      <c r="E65" s="1">
        <v>0</v>
      </c>
      <c r="F65" s="1">
        <v>850</v>
      </c>
      <c r="G65" s="24">
        <f t="shared" si="3"/>
        <v>2.5499999999999998</v>
      </c>
    </row>
    <row r="66" spans="1:7">
      <c r="A66" s="2">
        <v>11</v>
      </c>
      <c r="B66" s="1" t="s">
        <v>206</v>
      </c>
      <c r="C66" s="1" t="s">
        <v>111</v>
      </c>
      <c r="D66" s="1">
        <v>1</v>
      </c>
      <c r="E66" s="1">
        <v>0</v>
      </c>
      <c r="F66" s="1">
        <v>450</v>
      </c>
      <c r="G66" s="24">
        <f t="shared" si="3"/>
        <v>0.45</v>
      </c>
    </row>
    <row r="67" spans="1:7">
      <c r="A67" s="2">
        <v>12</v>
      </c>
      <c r="B67" s="1" t="s">
        <v>117</v>
      </c>
      <c r="C67" s="1" t="s">
        <v>111</v>
      </c>
      <c r="D67" s="1">
        <v>1</v>
      </c>
      <c r="E67" s="1">
        <v>0</v>
      </c>
      <c r="F67" s="1">
        <v>10</v>
      </c>
      <c r="G67" s="24">
        <f t="shared" si="3"/>
        <v>0.01</v>
      </c>
    </row>
    <row r="68" spans="1:7">
      <c r="A68" s="2">
        <v>13</v>
      </c>
      <c r="B68" s="1" t="s">
        <v>130</v>
      </c>
      <c r="C68" s="1" t="s">
        <v>111</v>
      </c>
      <c r="D68" s="1">
        <v>1</v>
      </c>
      <c r="E68" s="1"/>
      <c r="F68" s="1">
        <v>10</v>
      </c>
      <c r="G68" s="24">
        <f t="shared" si="3"/>
        <v>0.01</v>
      </c>
    </row>
    <row r="69" spans="1:7">
      <c r="B69" t="s">
        <v>10</v>
      </c>
      <c r="D69">
        <f>SUM(D56:D68)</f>
        <v>369</v>
      </c>
      <c r="E69" s="29">
        <f>SUM(E56:E68)</f>
        <v>275</v>
      </c>
      <c r="F69" s="3"/>
      <c r="G69" s="9">
        <f>SUM(G57:G68)</f>
        <v>87.175000000000011</v>
      </c>
    </row>
    <row r="70" spans="1:7">
      <c r="F70" s="79" t="s">
        <v>167</v>
      </c>
      <c r="G70" s="12">
        <f>G69*4</f>
        <v>348.70000000000005</v>
      </c>
    </row>
    <row r="71" spans="1:7" ht="24">
      <c r="F71" s="80" t="s">
        <v>14</v>
      </c>
      <c r="G71" s="13">
        <v>355</v>
      </c>
    </row>
    <row r="72" spans="1:7">
      <c r="B72" s="14" t="s">
        <v>211</v>
      </c>
    </row>
    <row r="73" spans="1:7" ht="36">
      <c r="A73" s="4" t="s">
        <v>12</v>
      </c>
      <c r="B73" s="4" t="s">
        <v>0</v>
      </c>
      <c r="C73" s="4" t="s">
        <v>1</v>
      </c>
      <c r="D73" s="4" t="s">
        <v>2</v>
      </c>
      <c r="E73" s="4" t="s">
        <v>3</v>
      </c>
      <c r="F73" s="5" t="s">
        <v>39</v>
      </c>
      <c r="G73" s="30" t="s">
        <v>15</v>
      </c>
    </row>
    <row r="74" spans="1:7">
      <c r="A74" s="2">
        <v>1</v>
      </c>
      <c r="B74" s="1" t="s">
        <v>203</v>
      </c>
      <c r="C74" s="1" t="s">
        <v>111</v>
      </c>
      <c r="D74" s="1">
        <v>150</v>
      </c>
      <c r="E74" s="1">
        <v>140</v>
      </c>
      <c r="F74" s="1">
        <v>25</v>
      </c>
      <c r="G74" s="24">
        <f>F74</f>
        <v>25</v>
      </c>
    </row>
    <row r="75" spans="1:7">
      <c r="A75" s="2">
        <v>2</v>
      </c>
      <c r="B75" s="1" t="s">
        <v>36</v>
      </c>
      <c r="C75" s="1" t="s">
        <v>5</v>
      </c>
      <c r="D75" s="1">
        <v>40</v>
      </c>
      <c r="E75" s="1">
        <v>40</v>
      </c>
      <c r="F75" s="1">
        <v>1100</v>
      </c>
      <c r="G75" s="24">
        <f t="shared" ref="G75:G84" si="4">D75*F75/1000</f>
        <v>44</v>
      </c>
    </row>
    <row r="76" spans="1:7">
      <c r="A76" s="2">
        <v>3</v>
      </c>
      <c r="B76" s="1" t="s">
        <v>208</v>
      </c>
      <c r="C76" s="1" t="s">
        <v>111</v>
      </c>
      <c r="D76" s="1">
        <v>60</v>
      </c>
      <c r="E76" s="1">
        <v>50</v>
      </c>
      <c r="F76" s="1">
        <v>1400</v>
      </c>
      <c r="G76" s="24">
        <f t="shared" si="4"/>
        <v>84</v>
      </c>
    </row>
    <row r="77" spans="1:7">
      <c r="A77" s="2">
        <v>4</v>
      </c>
      <c r="B77" s="1" t="s">
        <v>170</v>
      </c>
      <c r="C77" s="1" t="s">
        <v>5</v>
      </c>
      <c r="D77" s="1">
        <v>30</v>
      </c>
      <c r="E77" s="1">
        <v>30</v>
      </c>
      <c r="F77" s="1">
        <v>185</v>
      </c>
      <c r="G77" s="24">
        <f t="shared" si="4"/>
        <v>5.55</v>
      </c>
    </row>
    <row r="78" spans="1:7">
      <c r="A78" s="2">
        <v>5</v>
      </c>
      <c r="B78" s="1" t="s">
        <v>127</v>
      </c>
      <c r="C78" s="1" t="s">
        <v>5</v>
      </c>
      <c r="D78" s="1">
        <v>10</v>
      </c>
      <c r="E78" s="1">
        <v>0</v>
      </c>
      <c r="F78" s="1">
        <v>850</v>
      </c>
      <c r="G78" s="24">
        <f t="shared" si="4"/>
        <v>8.5</v>
      </c>
    </row>
    <row r="79" spans="1:7">
      <c r="A79" s="2">
        <v>6</v>
      </c>
      <c r="B79" s="1" t="s">
        <v>209</v>
      </c>
      <c r="C79" s="1" t="s">
        <v>5</v>
      </c>
      <c r="D79" s="1">
        <v>3</v>
      </c>
      <c r="E79" s="1">
        <v>0</v>
      </c>
      <c r="F79" s="1">
        <v>70</v>
      </c>
      <c r="G79" s="24">
        <f t="shared" si="4"/>
        <v>0.21</v>
      </c>
    </row>
    <row r="80" spans="1:7">
      <c r="A80" s="2">
        <v>7</v>
      </c>
      <c r="B80" s="1" t="s">
        <v>171</v>
      </c>
      <c r="C80" s="1" t="s">
        <v>111</v>
      </c>
      <c r="D80" s="1">
        <v>3</v>
      </c>
      <c r="E80" s="1">
        <v>0</v>
      </c>
      <c r="F80" s="1">
        <v>200</v>
      </c>
      <c r="G80" s="24">
        <f t="shared" si="4"/>
        <v>0.6</v>
      </c>
    </row>
    <row r="81" spans="1:7">
      <c r="A81" s="2">
        <v>8</v>
      </c>
      <c r="B81" s="1" t="s">
        <v>141</v>
      </c>
      <c r="C81" s="1" t="s">
        <v>111</v>
      </c>
      <c r="D81" s="1">
        <v>3</v>
      </c>
      <c r="E81" s="1">
        <v>0</v>
      </c>
      <c r="F81" s="1">
        <v>850</v>
      </c>
      <c r="G81" s="24">
        <f t="shared" si="4"/>
        <v>2.5499999999999998</v>
      </c>
    </row>
    <row r="82" spans="1:7">
      <c r="A82" s="2">
        <v>9</v>
      </c>
      <c r="B82" s="1" t="s">
        <v>206</v>
      </c>
      <c r="C82" s="1" t="s">
        <v>111</v>
      </c>
      <c r="D82" s="1">
        <v>1</v>
      </c>
      <c r="E82" s="1">
        <v>0</v>
      </c>
      <c r="F82" s="1">
        <v>450</v>
      </c>
      <c r="G82" s="24">
        <f t="shared" si="4"/>
        <v>0.45</v>
      </c>
    </row>
    <row r="83" spans="1:7">
      <c r="A83" s="2">
        <v>10</v>
      </c>
      <c r="B83" s="1" t="s">
        <v>117</v>
      </c>
      <c r="C83" s="1" t="s">
        <v>111</v>
      </c>
      <c r="D83" s="1">
        <v>1</v>
      </c>
      <c r="E83" s="1">
        <v>0</v>
      </c>
      <c r="F83" s="1">
        <v>10</v>
      </c>
      <c r="G83" s="24">
        <f t="shared" si="4"/>
        <v>0.01</v>
      </c>
    </row>
    <row r="84" spans="1:7">
      <c r="A84" s="2">
        <v>11</v>
      </c>
      <c r="B84" s="1" t="s">
        <v>210</v>
      </c>
      <c r="C84" s="1" t="s">
        <v>111</v>
      </c>
      <c r="D84" s="1">
        <v>20</v>
      </c>
      <c r="E84" s="1">
        <v>2</v>
      </c>
      <c r="F84" s="1">
        <v>170</v>
      </c>
      <c r="G84" s="24">
        <f t="shared" si="4"/>
        <v>3.4</v>
      </c>
    </row>
    <row r="85" spans="1:7">
      <c r="B85" t="s">
        <v>10</v>
      </c>
      <c r="D85">
        <f>SUM(D74:D84)</f>
        <v>321</v>
      </c>
      <c r="E85" s="29">
        <f>SUM(E74:E84)</f>
        <v>262</v>
      </c>
      <c r="F85" s="3"/>
      <c r="G85" s="9">
        <f>SUM(G74:G84)</f>
        <v>174.27</v>
      </c>
    </row>
    <row r="86" spans="1:7">
      <c r="F86" s="245" t="s">
        <v>60</v>
      </c>
      <c r="G86" s="246">
        <f>G85*2</f>
        <v>348.54</v>
      </c>
    </row>
    <row r="87" spans="1:7" ht="24">
      <c r="F87" s="247" t="s">
        <v>14</v>
      </c>
      <c r="G87" s="248">
        <v>355</v>
      </c>
    </row>
    <row r="88" spans="1:7">
      <c r="B88" s="14" t="s">
        <v>221</v>
      </c>
    </row>
    <row r="89" spans="1:7" ht="36">
      <c r="A89" s="4" t="s">
        <v>12</v>
      </c>
      <c r="B89" s="4" t="s">
        <v>0</v>
      </c>
      <c r="C89" s="4" t="s">
        <v>1</v>
      </c>
      <c r="D89" s="4" t="s">
        <v>2</v>
      </c>
      <c r="E89" s="4" t="s">
        <v>3</v>
      </c>
      <c r="F89" s="5" t="s">
        <v>39</v>
      </c>
      <c r="G89" s="30" t="s">
        <v>15</v>
      </c>
    </row>
    <row r="90" spans="1:7">
      <c r="A90" s="2">
        <v>1</v>
      </c>
      <c r="B90" s="1" t="s">
        <v>212</v>
      </c>
      <c r="C90" s="1" t="s">
        <v>187</v>
      </c>
      <c r="D90" s="1">
        <v>110</v>
      </c>
      <c r="E90" s="1">
        <v>90</v>
      </c>
      <c r="F90" s="1">
        <v>110</v>
      </c>
      <c r="G90" s="24">
        <f>D90*F90/1000</f>
        <v>12.1</v>
      </c>
    </row>
    <row r="91" spans="1:7">
      <c r="A91" s="2">
        <v>2</v>
      </c>
      <c r="B91" s="1" t="s">
        <v>163</v>
      </c>
      <c r="C91" s="1" t="s">
        <v>5</v>
      </c>
      <c r="D91" s="1">
        <v>30</v>
      </c>
      <c r="E91" s="1">
        <v>30</v>
      </c>
      <c r="F91" s="1">
        <v>175</v>
      </c>
      <c r="G91" s="24">
        <f t="shared" ref="G91:G101" si="5">D91*F91/1000</f>
        <v>5.25</v>
      </c>
    </row>
    <row r="92" spans="1:7">
      <c r="A92" s="2">
        <v>3</v>
      </c>
      <c r="B92" s="1" t="s">
        <v>170</v>
      </c>
      <c r="C92" s="1" t="s">
        <v>111</v>
      </c>
      <c r="D92" s="1">
        <v>45</v>
      </c>
      <c r="E92" s="1">
        <v>40</v>
      </c>
      <c r="F92" s="1">
        <v>185</v>
      </c>
      <c r="G92" s="24">
        <f t="shared" si="5"/>
        <v>8.3249999999999993</v>
      </c>
    </row>
    <row r="93" spans="1:7">
      <c r="A93" s="2">
        <v>4</v>
      </c>
      <c r="B93" s="1" t="s">
        <v>213</v>
      </c>
      <c r="C93" s="1" t="s">
        <v>111</v>
      </c>
      <c r="D93" s="1">
        <v>70</v>
      </c>
      <c r="E93" s="1">
        <v>50</v>
      </c>
      <c r="F93" s="1">
        <v>230</v>
      </c>
      <c r="G93" s="24">
        <f t="shared" si="5"/>
        <v>16.100000000000001</v>
      </c>
    </row>
    <row r="94" spans="1:7">
      <c r="A94" s="2">
        <v>5</v>
      </c>
      <c r="B94" s="1" t="s">
        <v>214</v>
      </c>
      <c r="C94" s="1" t="s">
        <v>5</v>
      </c>
      <c r="D94" s="1">
        <v>15</v>
      </c>
      <c r="E94" s="1"/>
      <c r="F94" s="1">
        <v>126</v>
      </c>
      <c r="G94" s="24">
        <f t="shared" si="5"/>
        <v>1.89</v>
      </c>
    </row>
    <row r="95" spans="1:7">
      <c r="A95" s="2">
        <v>6</v>
      </c>
      <c r="B95" s="1" t="s">
        <v>215</v>
      </c>
      <c r="C95" s="1" t="s">
        <v>5</v>
      </c>
      <c r="D95" s="1">
        <v>1</v>
      </c>
      <c r="E95" s="1">
        <v>0</v>
      </c>
      <c r="F95" s="1">
        <v>10</v>
      </c>
      <c r="G95" s="24">
        <f t="shared" si="5"/>
        <v>0.01</v>
      </c>
    </row>
    <row r="96" spans="1:7">
      <c r="A96" s="2">
        <v>7</v>
      </c>
      <c r="B96" s="1" t="s">
        <v>216</v>
      </c>
      <c r="C96" s="1" t="s">
        <v>5</v>
      </c>
      <c r="D96" s="1">
        <v>15</v>
      </c>
      <c r="E96" s="1"/>
      <c r="F96" s="1">
        <v>850</v>
      </c>
      <c r="G96" s="24">
        <f t="shared" si="5"/>
        <v>12.75</v>
      </c>
    </row>
    <row r="97" spans="1:9">
      <c r="A97" s="2">
        <v>8</v>
      </c>
      <c r="B97" s="1" t="s">
        <v>217</v>
      </c>
      <c r="C97" s="1" t="s">
        <v>111</v>
      </c>
      <c r="D97" s="1">
        <v>50</v>
      </c>
      <c r="E97" s="1">
        <v>40</v>
      </c>
      <c r="F97" s="1">
        <v>8</v>
      </c>
      <c r="G97" s="24">
        <f>F97</f>
        <v>8</v>
      </c>
    </row>
    <row r="98" spans="1:9">
      <c r="A98" s="2">
        <v>9</v>
      </c>
      <c r="B98" s="1" t="s">
        <v>218</v>
      </c>
      <c r="C98" s="1" t="s">
        <v>111</v>
      </c>
      <c r="D98" s="1">
        <v>50</v>
      </c>
      <c r="E98" s="1">
        <v>0</v>
      </c>
      <c r="F98" s="1">
        <v>126</v>
      </c>
      <c r="G98" s="24">
        <f t="shared" si="5"/>
        <v>6.3</v>
      </c>
    </row>
    <row r="99" spans="1:9">
      <c r="A99" s="2">
        <v>10</v>
      </c>
      <c r="B99" s="1" t="s">
        <v>117</v>
      </c>
      <c r="C99" s="1" t="s">
        <v>111</v>
      </c>
      <c r="D99" s="1">
        <v>2</v>
      </c>
      <c r="E99" s="1">
        <v>0</v>
      </c>
      <c r="F99" s="1">
        <v>10</v>
      </c>
      <c r="G99" s="24">
        <f t="shared" si="5"/>
        <v>0.02</v>
      </c>
    </row>
    <row r="100" spans="1:9">
      <c r="A100" s="2">
        <v>11</v>
      </c>
      <c r="B100" s="1" t="s">
        <v>219</v>
      </c>
      <c r="C100" s="1" t="s">
        <v>111</v>
      </c>
      <c r="D100" s="1">
        <v>120</v>
      </c>
      <c r="E100" s="1">
        <v>100</v>
      </c>
      <c r="F100" s="1">
        <v>240</v>
      </c>
      <c r="G100" s="24">
        <f t="shared" si="5"/>
        <v>28.8</v>
      </c>
    </row>
    <row r="101" spans="1:9">
      <c r="A101" s="2">
        <v>12</v>
      </c>
      <c r="B101" s="1" t="s">
        <v>220</v>
      </c>
      <c r="C101" s="1" t="s">
        <v>111</v>
      </c>
      <c r="D101" s="1">
        <v>30</v>
      </c>
      <c r="E101" s="1">
        <v>30</v>
      </c>
      <c r="F101" s="1">
        <v>45</v>
      </c>
      <c r="G101" s="24">
        <f t="shared" si="5"/>
        <v>1.35</v>
      </c>
    </row>
    <row r="102" spans="1:9">
      <c r="B102" t="s">
        <v>10</v>
      </c>
      <c r="D102">
        <f>SUM(D90:D101)</f>
        <v>538</v>
      </c>
      <c r="E102" s="29">
        <f>SUM(E90:E101)</f>
        <v>380</v>
      </c>
      <c r="F102" s="3"/>
      <c r="G102" s="9">
        <f>SUM(G90:G101)</f>
        <v>100.895</v>
      </c>
    </row>
    <row r="103" spans="1:9">
      <c r="F103" s="79" t="s">
        <v>28</v>
      </c>
      <c r="G103" s="12">
        <f>G102*3</f>
        <v>302.685</v>
      </c>
    </row>
    <row r="104" spans="1:9" ht="24">
      <c r="F104" s="80" t="s">
        <v>14</v>
      </c>
      <c r="G104" s="13">
        <v>355</v>
      </c>
    </row>
    <row r="105" spans="1:9">
      <c r="B105" s="14" t="s">
        <v>224</v>
      </c>
    </row>
    <row r="106" spans="1:9" ht="36">
      <c r="A106" s="4" t="s">
        <v>12</v>
      </c>
      <c r="B106" s="4" t="s">
        <v>0</v>
      </c>
      <c r="C106" s="4" t="s">
        <v>1</v>
      </c>
      <c r="D106" s="4" t="s">
        <v>2</v>
      </c>
      <c r="E106" s="4" t="s">
        <v>3</v>
      </c>
      <c r="F106" s="5" t="s">
        <v>39</v>
      </c>
      <c r="G106" s="30" t="s">
        <v>15</v>
      </c>
    </row>
    <row r="107" spans="1:9">
      <c r="A107" s="2">
        <v>1</v>
      </c>
      <c r="B107" s="1" t="s">
        <v>212</v>
      </c>
      <c r="C107" s="1" t="s">
        <v>187</v>
      </c>
      <c r="D107" s="1">
        <v>75</v>
      </c>
      <c r="E107" s="1">
        <v>60</v>
      </c>
      <c r="F107" s="1">
        <v>25</v>
      </c>
      <c r="G107" s="24">
        <f>F107</f>
        <v>25</v>
      </c>
    </row>
    <row r="108" spans="1:9">
      <c r="A108" s="2">
        <v>2</v>
      </c>
      <c r="B108" s="1" t="s">
        <v>222</v>
      </c>
      <c r="C108" s="1" t="s">
        <v>5</v>
      </c>
      <c r="D108" s="1">
        <v>30</v>
      </c>
      <c r="E108" s="1">
        <v>30</v>
      </c>
      <c r="F108" s="1">
        <v>100</v>
      </c>
      <c r="G108" s="24">
        <f t="shared" ref="G108:G116" si="6">D108*F108/1000</f>
        <v>3</v>
      </c>
    </row>
    <row r="109" spans="1:9">
      <c r="A109" s="2">
        <v>3</v>
      </c>
      <c r="B109" s="1" t="s">
        <v>31</v>
      </c>
      <c r="C109" s="1" t="s">
        <v>111</v>
      </c>
      <c r="D109" s="1">
        <v>40</v>
      </c>
      <c r="E109" s="1">
        <v>30</v>
      </c>
      <c r="F109" s="1">
        <v>2400</v>
      </c>
      <c r="G109" s="254">
        <f t="shared" si="6"/>
        <v>96</v>
      </c>
      <c r="H109" s="252"/>
      <c r="I109" s="252"/>
    </row>
    <row r="110" spans="1:9">
      <c r="A110" s="2">
        <v>4</v>
      </c>
      <c r="B110" s="1" t="s">
        <v>223</v>
      </c>
      <c r="C110" s="1" t="s">
        <v>111</v>
      </c>
      <c r="D110" s="1">
        <v>20</v>
      </c>
      <c r="E110" s="1">
        <v>10</v>
      </c>
      <c r="F110" s="1">
        <v>850</v>
      </c>
      <c r="G110" s="24">
        <f t="shared" si="6"/>
        <v>17</v>
      </c>
    </row>
    <row r="111" spans="1:9">
      <c r="A111" s="2">
        <v>5</v>
      </c>
      <c r="B111" s="1" t="s">
        <v>214</v>
      </c>
      <c r="C111" s="1" t="s">
        <v>5</v>
      </c>
      <c r="D111" s="1">
        <v>20</v>
      </c>
      <c r="E111" s="1">
        <v>0</v>
      </c>
      <c r="F111" s="1">
        <v>126</v>
      </c>
      <c r="G111" s="24">
        <f t="shared" si="6"/>
        <v>2.52</v>
      </c>
    </row>
    <row r="112" spans="1:9">
      <c r="A112" s="2">
        <v>6</v>
      </c>
      <c r="B112" s="1" t="s">
        <v>210</v>
      </c>
      <c r="C112" s="1" t="s">
        <v>5</v>
      </c>
      <c r="D112" s="1">
        <v>20</v>
      </c>
      <c r="E112" s="1">
        <v>0</v>
      </c>
      <c r="F112" s="1">
        <v>170</v>
      </c>
      <c r="G112" s="24">
        <f t="shared" si="6"/>
        <v>3.4</v>
      </c>
    </row>
    <row r="113" spans="1:11">
      <c r="A113" s="2">
        <v>7</v>
      </c>
      <c r="B113" s="1" t="s">
        <v>169</v>
      </c>
      <c r="C113" s="1" t="s">
        <v>5</v>
      </c>
      <c r="D113" s="1">
        <v>15</v>
      </c>
      <c r="E113" s="1">
        <v>0</v>
      </c>
      <c r="F113" s="1">
        <v>60</v>
      </c>
      <c r="G113" s="24">
        <f t="shared" si="6"/>
        <v>0.9</v>
      </c>
    </row>
    <row r="114" spans="1:11">
      <c r="A114" s="2">
        <v>8</v>
      </c>
      <c r="B114" s="1" t="s">
        <v>117</v>
      </c>
      <c r="C114" s="1" t="s">
        <v>111</v>
      </c>
      <c r="D114" s="1">
        <v>2</v>
      </c>
      <c r="E114" s="1">
        <v>0</v>
      </c>
      <c r="F114" s="1">
        <v>10</v>
      </c>
      <c r="G114" s="24">
        <f t="shared" si="6"/>
        <v>0.02</v>
      </c>
    </row>
    <row r="115" spans="1:11">
      <c r="A115" s="2">
        <v>9</v>
      </c>
      <c r="B115" s="1" t="s">
        <v>219</v>
      </c>
      <c r="C115" s="1" t="s">
        <v>111</v>
      </c>
      <c r="D115" s="1">
        <v>15</v>
      </c>
      <c r="E115" s="1">
        <v>120</v>
      </c>
      <c r="F115" s="1">
        <v>240</v>
      </c>
      <c r="G115" s="24">
        <f t="shared" si="6"/>
        <v>3.6</v>
      </c>
    </row>
    <row r="116" spans="1:11">
      <c r="A116" s="2">
        <v>10</v>
      </c>
      <c r="B116" s="1" t="s">
        <v>220</v>
      </c>
      <c r="C116" s="1" t="s">
        <v>111</v>
      </c>
      <c r="D116" s="1">
        <v>30</v>
      </c>
      <c r="E116" s="1">
        <v>30</v>
      </c>
      <c r="F116" s="1">
        <v>45</v>
      </c>
      <c r="G116" s="24">
        <f t="shared" si="6"/>
        <v>1.35</v>
      </c>
    </row>
    <row r="117" spans="1:11">
      <c r="B117" t="s">
        <v>10</v>
      </c>
      <c r="D117">
        <f>SUM(D107:D116)</f>
        <v>267</v>
      </c>
      <c r="E117" s="29">
        <f>SUM(E107:E116)</f>
        <v>280</v>
      </c>
      <c r="F117" s="3"/>
      <c r="G117" s="9">
        <f>SUM(G105:G116)</f>
        <v>152.79000000000002</v>
      </c>
    </row>
    <row r="118" spans="1:11">
      <c r="F118" s="245" t="s">
        <v>60</v>
      </c>
      <c r="G118" s="246">
        <f>G117*2</f>
        <v>305.58000000000004</v>
      </c>
    </row>
    <row r="119" spans="1:11" ht="24">
      <c r="F119" s="247" t="s">
        <v>14</v>
      </c>
      <c r="G119" s="248">
        <v>355</v>
      </c>
    </row>
    <row r="120" spans="1:11">
      <c r="B120" s="14" t="s">
        <v>230</v>
      </c>
    </row>
    <row r="121" spans="1:11" ht="36">
      <c r="A121" s="4" t="s">
        <v>12</v>
      </c>
      <c r="B121" s="4" t="s">
        <v>0</v>
      </c>
      <c r="C121" s="4" t="s">
        <v>1</v>
      </c>
      <c r="D121" s="4" t="s">
        <v>2</v>
      </c>
      <c r="E121" s="4" t="s">
        <v>3</v>
      </c>
      <c r="F121" s="5" t="s">
        <v>39</v>
      </c>
      <c r="G121" s="30" t="s">
        <v>15</v>
      </c>
    </row>
    <row r="122" spans="1:11">
      <c r="A122" s="2">
        <v>1</v>
      </c>
      <c r="B122" s="1" t="s">
        <v>225</v>
      </c>
      <c r="C122" s="1" t="s">
        <v>111</v>
      </c>
      <c r="D122" s="1">
        <v>220</v>
      </c>
      <c r="E122" s="1">
        <v>180</v>
      </c>
      <c r="F122" s="1">
        <v>280</v>
      </c>
      <c r="G122" s="254">
        <f>D122*F122/1000</f>
        <v>61.6</v>
      </c>
      <c r="H122" s="252"/>
      <c r="I122" s="252"/>
      <c r="J122" s="252"/>
      <c r="K122" s="252"/>
    </row>
    <row r="123" spans="1:11">
      <c r="A123" s="2">
        <v>2</v>
      </c>
      <c r="B123" s="1" t="s">
        <v>226</v>
      </c>
      <c r="C123" s="1" t="s">
        <v>111</v>
      </c>
      <c r="D123" s="1">
        <v>40</v>
      </c>
      <c r="E123" s="1">
        <v>40</v>
      </c>
      <c r="F123" s="1">
        <v>250</v>
      </c>
      <c r="G123" s="24">
        <f t="shared" ref="G123:G129" si="7">D123*F123/1000</f>
        <v>10</v>
      </c>
    </row>
    <row r="124" spans="1:11">
      <c r="A124" s="2">
        <v>3</v>
      </c>
      <c r="B124" s="1" t="s">
        <v>214</v>
      </c>
      <c r="C124" s="1" t="s">
        <v>111</v>
      </c>
      <c r="D124" s="1">
        <v>30</v>
      </c>
      <c r="E124" s="1">
        <v>0</v>
      </c>
      <c r="F124" s="1">
        <v>126</v>
      </c>
      <c r="G124" s="24">
        <f t="shared" si="7"/>
        <v>3.78</v>
      </c>
    </row>
    <row r="125" spans="1:11">
      <c r="A125" s="2">
        <v>4</v>
      </c>
      <c r="B125" s="1" t="s">
        <v>200</v>
      </c>
      <c r="C125" s="1" t="s">
        <v>111</v>
      </c>
      <c r="D125" s="1" t="s">
        <v>227</v>
      </c>
      <c r="E125" s="1">
        <v>20</v>
      </c>
      <c r="F125" s="1">
        <v>8</v>
      </c>
      <c r="G125" s="24">
        <v>4</v>
      </c>
    </row>
    <row r="126" spans="1:11">
      <c r="A126" s="2">
        <v>5</v>
      </c>
      <c r="B126" s="1" t="s">
        <v>228</v>
      </c>
      <c r="C126" s="1" t="s">
        <v>111</v>
      </c>
      <c r="D126" s="1">
        <v>20</v>
      </c>
      <c r="E126" s="1">
        <v>0</v>
      </c>
      <c r="F126" s="1">
        <v>65</v>
      </c>
      <c r="G126" s="24">
        <f t="shared" si="7"/>
        <v>1.3</v>
      </c>
    </row>
    <row r="127" spans="1:11">
      <c r="A127" s="2">
        <v>7</v>
      </c>
      <c r="B127" s="1" t="s">
        <v>229</v>
      </c>
      <c r="C127" s="1" t="s">
        <v>111</v>
      </c>
      <c r="D127" s="1">
        <v>5</v>
      </c>
      <c r="E127" s="1">
        <v>0</v>
      </c>
      <c r="F127" s="1">
        <v>850</v>
      </c>
      <c r="G127" s="24">
        <f t="shared" si="7"/>
        <v>4.25</v>
      </c>
    </row>
    <row r="128" spans="1:11">
      <c r="A128" s="2">
        <v>8</v>
      </c>
      <c r="B128" s="1" t="s">
        <v>219</v>
      </c>
      <c r="C128" s="1" t="s">
        <v>111</v>
      </c>
      <c r="D128" s="1">
        <v>150</v>
      </c>
      <c r="E128" s="1">
        <v>120</v>
      </c>
      <c r="F128" s="1">
        <v>240</v>
      </c>
      <c r="G128" s="24">
        <f t="shared" si="7"/>
        <v>36</v>
      </c>
    </row>
    <row r="129" spans="1:7">
      <c r="A129" s="2">
        <v>9</v>
      </c>
      <c r="B129" s="1" t="s">
        <v>220</v>
      </c>
      <c r="C129" s="1" t="s">
        <v>111</v>
      </c>
      <c r="D129" s="1">
        <v>30</v>
      </c>
      <c r="E129" s="1">
        <v>30</v>
      </c>
      <c r="F129" s="1">
        <v>45</v>
      </c>
      <c r="G129" s="24">
        <f t="shared" si="7"/>
        <v>1.35</v>
      </c>
    </row>
    <row r="130" spans="1:7">
      <c r="B130" t="s">
        <v>10</v>
      </c>
      <c r="D130">
        <f>SUM(D122:D129)</f>
        <v>495</v>
      </c>
      <c r="E130">
        <f>SUM(E122:E129)</f>
        <v>390</v>
      </c>
      <c r="F130" s="3"/>
      <c r="G130" s="9">
        <f>SUM(G122:G129)</f>
        <v>122.27999999999999</v>
      </c>
    </row>
    <row r="131" spans="1:7">
      <c r="F131" s="245" t="s">
        <v>60</v>
      </c>
      <c r="G131" s="255">
        <f>G130*2</f>
        <v>244.55999999999997</v>
      </c>
    </row>
    <row r="132" spans="1:7" ht="24">
      <c r="F132" s="247" t="s">
        <v>14</v>
      </c>
      <c r="G132" s="247">
        <v>450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L83"/>
  <sheetViews>
    <sheetView workbookViewId="0">
      <selection activeCell="I8" sqref="I8"/>
    </sheetView>
  </sheetViews>
  <sheetFormatPr defaultRowHeight="15"/>
  <cols>
    <col min="1" max="1" width="5" customWidth="1"/>
    <col min="2" max="2" width="23" customWidth="1"/>
    <col min="6" max="6" width="11" customWidth="1"/>
  </cols>
  <sheetData>
    <row r="1" spans="1:7">
      <c r="B1" s="14" t="s">
        <v>236</v>
      </c>
    </row>
    <row r="2" spans="1:7" ht="36">
      <c r="A2" s="4" t="s">
        <v>12</v>
      </c>
      <c r="B2" s="4" t="s">
        <v>0</v>
      </c>
      <c r="C2" s="4" t="s">
        <v>1</v>
      </c>
      <c r="D2" s="4" t="s">
        <v>2</v>
      </c>
      <c r="E2" s="4" t="s">
        <v>3</v>
      </c>
      <c r="F2" s="5" t="s">
        <v>39</v>
      </c>
      <c r="G2" s="30" t="s">
        <v>15</v>
      </c>
    </row>
    <row r="3" spans="1:7">
      <c r="A3" s="2">
        <v>1</v>
      </c>
      <c r="B3" s="1" t="s">
        <v>231</v>
      </c>
      <c r="C3" s="1" t="s">
        <v>187</v>
      </c>
      <c r="D3" s="1">
        <v>250</v>
      </c>
      <c r="E3" s="1">
        <v>250</v>
      </c>
      <c r="F3" s="1">
        <v>70</v>
      </c>
      <c r="G3" s="1">
        <f>D3*F3/1000</f>
        <v>17.5</v>
      </c>
    </row>
    <row r="4" spans="1:7">
      <c r="A4" s="2">
        <v>2</v>
      </c>
      <c r="B4" s="1" t="s">
        <v>232</v>
      </c>
      <c r="C4" s="1" t="s">
        <v>111</v>
      </c>
      <c r="D4" s="1">
        <v>70</v>
      </c>
      <c r="E4" s="1">
        <v>70</v>
      </c>
      <c r="F4" s="1">
        <v>204</v>
      </c>
      <c r="G4" s="1">
        <f t="shared" ref="G4:G9" si="0">D4*F4/1000</f>
        <v>14.28</v>
      </c>
    </row>
    <row r="5" spans="1:7">
      <c r="A5" s="2">
        <v>3</v>
      </c>
      <c r="B5" s="1" t="s">
        <v>194</v>
      </c>
      <c r="C5" s="1" t="s">
        <v>111</v>
      </c>
      <c r="D5" s="1">
        <v>60</v>
      </c>
      <c r="E5" s="1">
        <v>60</v>
      </c>
      <c r="F5" s="1">
        <v>650</v>
      </c>
      <c r="G5" s="1">
        <f t="shared" si="0"/>
        <v>39</v>
      </c>
    </row>
    <row r="6" spans="1:7">
      <c r="A6" s="2">
        <v>4</v>
      </c>
      <c r="B6" s="1" t="s">
        <v>233</v>
      </c>
      <c r="C6" s="1" t="s">
        <v>111</v>
      </c>
      <c r="D6" s="1">
        <v>60</v>
      </c>
      <c r="E6" s="1">
        <v>60</v>
      </c>
      <c r="F6" s="1">
        <v>450</v>
      </c>
      <c r="G6" s="1">
        <f t="shared" si="0"/>
        <v>27</v>
      </c>
    </row>
    <row r="7" spans="1:7">
      <c r="A7" s="2">
        <v>5</v>
      </c>
      <c r="B7" s="1" t="s">
        <v>140</v>
      </c>
      <c r="C7" s="1" t="s">
        <v>111</v>
      </c>
      <c r="D7" s="1">
        <v>5</v>
      </c>
      <c r="E7" s="1">
        <v>0</v>
      </c>
      <c r="F7" s="1">
        <v>850</v>
      </c>
      <c r="G7" s="1">
        <f t="shared" si="0"/>
        <v>4.25</v>
      </c>
    </row>
    <row r="8" spans="1:7">
      <c r="A8" s="2">
        <v>6</v>
      </c>
      <c r="B8" s="1" t="s">
        <v>234</v>
      </c>
      <c r="C8" s="1" t="s">
        <v>111</v>
      </c>
      <c r="D8" s="1">
        <v>80</v>
      </c>
      <c r="E8" s="1">
        <v>80</v>
      </c>
      <c r="F8" s="1">
        <v>450</v>
      </c>
      <c r="G8" s="1">
        <f t="shared" si="0"/>
        <v>36</v>
      </c>
    </row>
    <row r="9" spans="1:7">
      <c r="A9" s="2">
        <v>7</v>
      </c>
      <c r="B9" s="1" t="s">
        <v>235</v>
      </c>
      <c r="C9" s="1" t="s">
        <v>111</v>
      </c>
      <c r="D9" s="1">
        <v>2</v>
      </c>
      <c r="E9" s="1">
        <v>0</v>
      </c>
      <c r="F9" s="1">
        <v>450</v>
      </c>
      <c r="G9" s="1">
        <f t="shared" si="0"/>
        <v>0.9</v>
      </c>
    </row>
    <row r="10" spans="1:7">
      <c r="B10" t="s">
        <v>10</v>
      </c>
      <c r="D10">
        <f>SUM(D3:D9)</f>
        <v>527</v>
      </c>
      <c r="E10" s="29">
        <f>SUM(E3:E9)</f>
        <v>520</v>
      </c>
      <c r="F10" s="3"/>
      <c r="G10" s="9">
        <f>SUM(G1:G9)</f>
        <v>138.93</v>
      </c>
    </row>
    <row r="11" spans="1:7" ht="13.9" customHeight="1">
      <c r="F11" s="79" t="s">
        <v>28</v>
      </c>
      <c r="G11" s="256">
        <f>G10*3</f>
        <v>416.79</v>
      </c>
    </row>
    <row r="12" spans="1:7">
      <c r="F12" s="80" t="s">
        <v>14</v>
      </c>
      <c r="G12" s="80">
        <v>450</v>
      </c>
    </row>
    <row r="13" spans="1:7">
      <c r="B13" s="14" t="s">
        <v>239</v>
      </c>
    </row>
    <row r="14" spans="1:7" ht="36">
      <c r="A14" s="4" t="s">
        <v>12</v>
      </c>
      <c r="B14" s="4" t="s">
        <v>0</v>
      </c>
      <c r="C14" s="4" t="s">
        <v>1</v>
      </c>
      <c r="D14" s="4" t="s">
        <v>2</v>
      </c>
      <c r="E14" s="4" t="s">
        <v>3</v>
      </c>
      <c r="F14" s="5" t="s">
        <v>39</v>
      </c>
      <c r="G14" s="30" t="s">
        <v>15</v>
      </c>
    </row>
    <row r="15" spans="1:7">
      <c r="A15" s="2">
        <v>1</v>
      </c>
      <c r="B15" s="1" t="s">
        <v>231</v>
      </c>
      <c r="C15" s="1" t="s">
        <v>187</v>
      </c>
      <c r="D15" s="1">
        <v>250</v>
      </c>
      <c r="E15" s="1">
        <v>250</v>
      </c>
      <c r="F15" s="1">
        <v>70</v>
      </c>
      <c r="G15" s="1">
        <f>D15*F15/1000</f>
        <v>17.5</v>
      </c>
    </row>
    <row r="16" spans="1:7">
      <c r="A16" s="2">
        <v>2</v>
      </c>
      <c r="B16" s="1" t="s">
        <v>237</v>
      </c>
      <c r="C16" s="1" t="s">
        <v>111</v>
      </c>
      <c r="D16" s="1">
        <v>70</v>
      </c>
      <c r="E16" s="1">
        <v>70</v>
      </c>
      <c r="F16" s="1">
        <v>650</v>
      </c>
      <c r="G16" s="1">
        <f t="shared" ref="G16:G21" si="1">D16*F16/1000</f>
        <v>45.5</v>
      </c>
    </row>
    <row r="17" spans="1:7">
      <c r="A17" s="2">
        <v>3</v>
      </c>
      <c r="B17" s="1" t="s">
        <v>194</v>
      </c>
      <c r="C17" s="1" t="s">
        <v>111</v>
      </c>
      <c r="D17" s="1">
        <v>60</v>
      </c>
      <c r="E17" s="1">
        <v>60</v>
      </c>
      <c r="F17" s="1">
        <v>650</v>
      </c>
      <c r="G17" s="1">
        <f t="shared" si="1"/>
        <v>39</v>
      </c>
    </row>
    <row r="18" spans="1:7">
      <c r="A18" s="2">
        <v>4</v>
      </c>
      <c r="B18" s="1" t="s">
        <v>233</v>
      </c>
      <c r="C18" s="1" t="s">
        <v>111</v>
      </c>
      <c r="D18" s="1">
        <v>60</v>
      </c>
      <c r="E18" s="1">
        <v>60</v>
      </c>
      <c r="F18" s="1">
        <v>450</v>
      </c>
      <c r="G18" s="1">
        <f t="shared" si="1"/>
        <v>27</v>
      </c>
    </row>
    <row r="19" spans="1:7">
      <c r="A19" s="2">
        <v>5</v>
      </c>
      <c r="B19" s="1" t="s">
        <v>140</v>
      </c>
      <c r="C19" s="1" t="s">
        <v>111</v>
      </c>
      <c r="D19" s="1">
        <v>5</v>
      </c>
      <c r="E19" s="1">
        <v>0</v>
      </c>
      <c r="F19" s="1">
        <v>850</v>
      </c>
      <c r="G19" s="1">
        <f t="shared" si="1"/>
        <v>4.25</v>
      </c>
    </row>
    <row r="20" spans="1:7">
      <c r="A20" s="2">
        <v>6</v>
      </c>
      <c r="B20" s="1" t="s">
        <v>199</v>
      </c>
      <c r="C20" s="1" t="s">
        <v>111</v>
      </c>
      <c r="D20" s="1">
        <v>100</v>
      </c>
      <c r="E20" s="1">
        <v>80</v>
      </c>
      <c r="F20" s="1">
        <v>330</v>
      </c>
      <c r="G20" s="1">
        <f t="shared" si="1"/>
        <v>33</v>
      </c>
    </row>
    <row r="21" spans="1:7">
      <c r="A21" s="2">
        <v>7</v>
      </c>
      <c r="B21" s="1" t="s">
        <v>238</v>
      </c>
      <c r="C21" s="1" t="s">
        <v>111</v>
      </c>
      <c r="D21" s="1">
        <v>20</v>
      </c>
      <c r="E21" s="1">
        <v>0</v>
      </c>
      <c r="F21" s="1">
        <v>850</v>
      </c>
      <c r="G21" s="1">
        <f t="shared" si="1"/>
        <v>17</v>
      </c>
    </row>
    <row r="22" spans="1:7">
      <c r="B22" t="s">
        <v>10</v>
      </c>
      <c r="D22">
        <f>SUM(D15:D21)</f>
        <v>565</v>
      </c>
      <c r="E22" s="29">
        <f>SUM(E15:E21)</f>
        <v>520</v>
      </c>
      <c r="F22" s="3"/>
      <c r="G22" s="9">
        <f>SUM(G13:G21)</f>
        <v>183.25</v>
      </c>
    </row>
    <row r="23" spans="1:7">
      <c r="F23" s="79" t="s">
        <v>28</v>
      </c>
      <c r="G23" s="256">
        <f>G22*3</f>
        <v>549.75</v>
      </c>
    </row>
    <row r="24" spans="1:7">
      <c r="F24" s="80" t="s">
        <v>14</v>
      </c>
      <c r="G24" s="80">
        <v>460</v>
      </c>
    </row>
    <row r="25" spans="1:7">
      <c r="B25" s="14" t="s">
        <v>240</v>
      </c>
    </row>
    <row r="26" spans="1:7" ht="36">
      <c r="A26" s="4" t="s">
        <v>12</v>
      </c>
      <c r="B26" s="4" t="s">
        <v>0</v>
      </c>
      <c r="C26" s="4" t="s">
        <v>1</v>
      </c>
      <c r="D26" s="4" t="s">
        <v>2</v>
      </c>
      <c r="E26" s="4" t="s">
        <v>3</v>
      </c>
      <c r="F26" s="5" t="s">
        <v>39</v>
      </c>
      <c r="G26" s="30" t="s">
        <v>15</v>
      </c>
    </row>
    <row r="27" spans="1:7">
      <c r="A27" s="2">
        <v>1</v>
      </c>
      <c r="B27" s="1" t="s">
        <v>231</v>
      </c>
      <c r="C27" s="1" t="s">
        <v>187</v>
      </c>
      <c r="D27" s="1">
        <v>250</v>
      </c>
      <c r="E27" s="1">
        <v>250</v>
      </c>
      <c r="F27" s="1">
        <v>70</v>
      </c>
      <c r="G27" s="24">
        <f>D27*F27/1000</f>
        <v>17.5</v>
      </c>
    </row>
    <row r="28" spans="1:7">
      <c r="A28" s="2">
        <v>2</v>
      </c>
      <c r="B28" s="1" t="s">
        <v>232</v>
      </c>
      <c r="C28" s="1" t="s">
        <v>111</v>
      </c>
      <c r="D28" s="1">
        <v>70</v>
      </c>
      <c r="E28" s="1">
        <v>70</v>
      </c>
      <c r="F28" s="1">
        <v>204</v>
      </c>
      <c r="G28" s="24">
        <f t="shared" ref="G28:G33" si="2">D28*F28/1000</f>
        <v>14.28</v>
      </c>
    </row>
    <row r="29" spans="1:7">
      <c r="A29" s="2">
        <v>3</v>
      </c>
      <c r="B29" s="1" t="s">
        <v>194</v>
      </c>
      <c r="C29" s="1" t="s">
        <v>111</v>
      </c>
      <c r="D29" s="1">
        <v>60</v>
      </c>
      <c r="E29" s="1">
        <v>60</v>
      </c>
      <c r="F29" s="1">
        <v>650</v>
      </c>
      <c r="G29" s="24">
        <f t="shared" si="2"/>
        <v>39</v>
      </c>
    </row>
    <row r="30" spans="1:7">
      <c r="A30" s="2">
        <v>4</v>
      </c>
      <c r="B30" s="1" t="s">
        <v>233</v>
      </c>
      <c r="C30" s="1" t="s">
        <v>111</v>
      </c>
      <c r="D30" s="1">
        <v>60</v>
      </c>
      <c r="E30" s="1">
        <v>60</v>
      </c>
      <c r="F30" s="1">
        <v>450</v>
      </c>
      <c r="G30" s="24">
        <f t="shared" si="2"/>
        <v>27</v>
      </c>
    </row>
    <row r="31" spans="1:7">
      <c r="A31" s="2">
        <v>5</v>
      </c>
      <c r="B31" s="1" t="s">
        <v>140</v>
      </c>
      <c r="C31" s="1" t="s">
        <v>111</v>
      </c>
      <c r="D31" s="1">
        <v>5</v>
      </c>
      <c r="E31" s="1">
        <v>0</v>
      </c>
      <c r="F31" s="1">
        <v>850</v>
      </c>
      <c r="G31" s="24">
        <f t="shared" si="2"/>
        <v>4.25</v>
      </c>
    </row>
    <row r="32" spans="1:7">
      <c r="A32" s="2">
        <v>6</v>
      </c>
      <c r="B32" s="1" t="s">
        <v>170</v>
      </c>
      <c r="C32" s="1" t="s">
        <v>111</v>
      </c>
      <c r="D32" s="1">
        <v>100</v>
      </c>
      <c r="E32" s="1">
        <v>80</v>
      </c>
      <c r="F32" s="1">
        <v>185</v>
      </c>
      <c r="G32" s="24">
        <f t="shared" si="2"/>
        <v>18.5</v>
      </c>
    </row>
    <row r="33" spans="1:12">
      <c r="A33" s="2">
        <v>7</v>
      </c>
      <c r="B33" s="1" t="s">
        <v>206</v>
      </c>
      <c r="C33" s="1" t="s">
        <v>111</v>
      </c>
      <c r="D33" s="1">
        <v>2</v>
      </c>
      <c r="E33" s="1">
        <v>0</v>
      </c>
      <c r="F33" s="1">
        <v>450</v>
      </c>
      <c r="G33" s="24">
        <f t="shared" si="2"/>
        <v>0.9</v>
      </c>
    </row>
    <row r="34" spans="1:12">
      <c r="B34" t="s">
        <v>10</v>
      </c>
      <c r="D34">
        <f>SUM(D27:D33)</f>
        <v>547</v>
      </c>
      <c r="E34" s="29">
        <f>SUM(E27:E33)</f>
        <v>520</v>
      </c>
      <c r="F34" s="3"/>
      <c r="G34" s="9">
        <f>SUM(G25:G33)</f>
        <v>121.43</v>
      </c>
    </row>
    <row r="35" spans="1:12">
      <c r="F35" s="79" t="s">
        <v>28</v>
      </c>
      <c r="G35" s="256">
        <f>G34*3</f>
        <v>364.29</v>
      </c>
    </row>
    <row r="36" spans="1:12">
      <c r="F36" s="80" t="s">
        <v>14</v>
      </c>
      <c r="G36" s="80">
        <v>420</v>
      </c>
    </row>
    <row r="37" spans="1:12">
      <c r="B37" s="14" t="s">
        <v>244</v>
      </c>
    </row>
    <row r="38" spans="1:12" ht="36">
      <c r="A38" s="4" t="s">
        <v>12</v>
      </c>
      <c r="B38" s="4" t="s">
        <v>0</v>
      </c>
      <c r="C38" s="4" t="s">
        <v>1</v>
      </c>
      <c r="D38" s="4" t="s">
        <v>2</v>
      </c>
      <c r="E38" s="4" t="s">
        <v>3</v>
      </c>
      <c r="F38" s="5" t="s">
        <v>39</v>
      </c>
      <c r="G38" s="30" t="s">
        <v>15</v>
      </c>
    </row>
    <row r="39" spans="1:12">
      <c r="A39" s="2">
        <v>1</v>
      </c>
      <c r="B39" s="1" t="s">
        <v>231</v>
      </c>
      <c r="C39" s="1" t="s">
        <v>187</v>
      </c>
      <c r="D39" s="1">
        <v>250</v>
      </c>
      <c r="E39" s="1">
        <v>250</v>
      </c>
      <c r="F39" s="1">
        <v>70</v>
      </c>
      <c r="G39" s="24">
        <f>D39*F39/1000</f>
        <v>17.5</v>
      </c>
    </row>
    <row r="40" spans="1:12">
      <c r="A40" s="2">
        <v>2</v>
      </c>
      <c r="B40" s="1" t="s">
        <v>232</v>
      </c>
      <c r="C40" s="1" t="s">
        <v>111</v>
      </c>
      <c r="D40" s="1">
        <v>70</v>
      </c>
      <c r="E40" s="1">
        <v>70</v>
      </c>
      <c r="F40" s="1">
        <v>204</v>
      </c>
      <c r="G40" s="24">
        <f t="shared" ref="G40:G49" si="3">D40*F40/1000</f>
        <v>14.28</v>
      </c>
    </row>
    <row r="41" spans="1:12">
      <c r="A41" s="2">
        <v>3</v>
      </c>
      <c r="B41" s="1" t="s">
        <v>194</v>
      </c>
      <c r="C41" s="1" t="s">
        <v>111</v>
      </c>
      <c r="D41" s="1">
        <v>60</v>
      </c>
      <c r="E41" s="1">
        <v>60</v>
      </c>
      <c r="F41" s="1">
        <v>650</v>
      </c>
      <c r="G41" s="24">
        <f t="shared" si="3"/>
        <v>39</v>
      </c>
    </row>
    <row r="42" spans="1:12">
      <c r="A42" s="2">
        <v>4</v>
      </c>
      <c r="B42" s="1" t="s">
        <v>233</v>
      </c>
      <c r="C42" s="1" t="s">
        <v>111</v>
      </c>
      <c r="D42" s="1">
        <v>60</v>
      </c>
      <c r="E42" s="1">
        <v>60</v>
      </c>
      <c r="F42" s="1">
        <v>450</v>
      </c>
      <c r="G42" s="24">
        <f t="shared" si="3"/>
        <v>27</v>
      </c>
    </row>
    <row r="43" spans="1:12">
      <c r="A43" s="2">
        <v>5</v>
      </c>
      <c r="B43" s="1" t="s">
        <v>140</v>
      </c>
      <c r="C43" s="1" t="s">
        <v>111</v>
      </c>
      <c r="D43" s="1">
        <v>5</v>
      </c>
      <c r="E43" s="1">
        <v>0</v>
      </c>
      <c r="F43" s="1">
        <v>850</v>
      </c>
      <c r="G43" s="24">
        <f t="shared" si="3"/>
        <v>4.25</v>
      </c>
    </row>
    <row r="44" spans="1:12">
      <c r="A44" s="2">
        <v>6</v>
      </c>
      <c r="B44" s="1" t="s">
        <v>118</v>
      </c>
      <c r="C44" s="1" t="s">
        <v>111</v>
      </c>
      <c r="D44" s="1">
        <v>100</v>
      </c>
      <c r="E44" s="1">
        <v>80</v>
      </c>
      <c r="F44" s="1">
        <v>330</v>
      </c>
      <c r="G44" s="24">
        <f t="shared" si="3"/>
        <v>33</v>
      </c>
    </row>
    <row r="45" spans="1:12">
      <c r="A45" s="2">
        <v>7</v>
      </c>
      <c r="B45" s="1" t="s">
        <v>241</v>
      </c>
      <c r="C45" s="1" t="s">
        <v>111</v>
      </c>
      <c r="D45" s="1">
        <v>60</v>
      </c>
      <c r="E45" s="1">
        <v>30</v>
      </c>
      <c r="F45" s="1">
        <v>1100</v>
      </c>
      <c r="G45" s="254">
        <f t="shared" si="3"/>
        <v>66</v>
      </c>
      <c r="H45" s="252"/>
      <c r="I45" s="252"/>
      <c r="J45" s="252"/>
      <c r="K45" s="252"/>
      <c r="L45" s="252"/>
    </row>
    <row r="46" spans="1:12">
      <c r="A46" s="2">
        <v>8</v>
      </c>
      <c r="B46" s="1" t="s">
        <v>242</v>
      </c>
      <c r="C46" s="1" t="s">
        <v>111</v>
      </c>
      <c r="D46" s="1">
        <v>60</v>
      </c>
      <c r="E46" s="1">
        <v>60</v>
      </c>
      <c r="F46" s="1">
        <v>450</v>
      </c>
      <c r="G46" s="24">
        <f t="shared" si="3"/>
        <v>27</v>
      </c>
    </row>
    <row r="47" spans="1:12">
      <c r="A47" s="2">
        <v>9</v>
      </c>
      <c r="B47" s="1" t="s">
        <v>243</v>
      </c>
      <c r="C47" s="1" t="s">
        <v>111</v>
      </c>
      <c r="D47" s="1">
        <v>20</v>
      </c>
      <c r="E47" s="1">
        <v>20</v>
      </c>
      <c r="F47" s="1">
        <v>350</v>
      </c>
      <c r="G47" s="24">
        <f t="shared" si="3"/>
        <v>7</v>
      </c>
    </row>
    <row r="48" spans="1:12">
      <c r="A48" s="2">
        <v>10</v>
      </c>
      <c r="B48" s="1" t="s">
        <v>169</v>
      </c>
      <c r="C48" s="1" t="s">
        <v>111</v>
      </c>
      <c r="D48" s="1">
        <v>20</v>
      </c>
      <c r="E48" s="1"/>
      <c r="F48" s="1">
        <v>80</v>
      </c>
      <c r="G48" s="24">
        <f t="shared" si="3"/>
        <v>1.6</v>
      </c>
    </row>
    <row r="49" spans="1:7">
      <c r="A49" s="2">
        <v>11</v>
      </c>
      <c r="B49" s="1" t="s">
        <v>235</v>
      </c>
      <c r="C49" s="1" t="s">
        <v>111</v>
      </c>
      <c r="D49" s="1">
        <v>2</v>
      </c>
      <c r="E49" s="1">
        <v>0</v>
      </c>
      <c r="F49" s="1">
        <v>450</v>
      </c>
      <c r="G49" s="24">
        <f t="shared" si="3"/>
        <v>0.9</v>
      </c>
    </row>
    <row r="50" spans="1:7">
      <c r="B50" t="s">
        <v>10</v>
      </c>
      <c r="D50">
        <f>SUM(D39:D49)</f>
        <v>707</v>
      </c>
      <c r="E50">
        <f>SUM(E39:E49)</f>
        <v>630</v>
      </c>
      <c r="F50" s="3"/>
      <c r="G50" s="9">
        <f>SUM(G39:G49)</f>
        <v>237.53</v>
      </c>
    </row>
    <row r="51" spans="1:7" ht="14.45" customHeight="1">
      <c r="F51" s="245" t="s">
        <v>28</v>
      </c>
      <c r="G51" s="255">
        <f>G50*3</f>
        <v>712.59</v>
      </c>
    </row>
    <row r="52" spans="1:7">
      <c r="F52" s="247" t="s">
        <v>14</v>
      </c>
      <c r="G52" s="247">
        <v>620</v>
      </c>
    </row>
    <row r="53" spans="1:7">
      <c r="B53" s="14" t="s">
        <v>246</v>
      </c>
    </row>
    <row r="54" spans="1:7" ht="36">
      <c r="A54" s="4" t="s">
        <v>12</v>
      </c>
      <c r="B54" s="4" t="s">
        <v>0</v>
      </c>
      <c r="C54" s="4" t="s">
        <v>1</v>
      </c>
      <c r="D54" s="4" t="s">
        <v>2</v>
      </c>
      <c r="E54" s="4" t="s">
        <v>3</v>
      </c>
      <c r="F54" s="5" t="s">
        <v>39</v>
      </c>
      <c r="G54" s="30" t="s">
        <v>15</v>
      </c>
    </row>
    <row r="55" spans="1:7">
      <c r="A55" s="2">
        <v>1</v>
      </c>
      <c r="B55" s="1" t="s">
        <v>231</v>
      </c>
      <c r="C55" s="1" t="s">
        <v>187</v>
      </c>
      <c r="D55" s="1">
        <v>250</v>
      </c>
      <c r="E55" s="1">
        <v>250</v>
      </c>
      <c r="F55" s="1">
        <v>70</v>
      </c>
      <c r="G55" s="24">
        <f>D55*F55/1000</f>
        <v>17.5</v>
      </c>
    </row>
    <row r="56" spans="1:7">
      <c r="A56" s="2">
        <v>2</v>
      </c>
      <c r="B56" s="1" t="s">
        <v>232</v>
      </c>
      <c r="C56" s="1" t="s">
        <v>111</v>
      </c>
      <c r="D56" s="1">
        <v>70</v>
      </c>
      <c r="E56" s="1">
        <v>70</v>
      </c>
      <c r="F56" s="1">
        <v>204</v>
      </c>
      <c r="G56" s="24">
        <f t="shared" ref="G56:G65" si="4">D56*F56/1000</f>
        <v>14.28</v>
      </c>
    </row>
    <row r="57" spans="1:7">
      <c r="A57" s="2">
        <v>3</v>
      </c>
      <c r="B57" s="1" t="s">
        <v>194</v>
      </c>
      <c r="C57" s="1" t="s">
        <v>111</v>
      </c>
      <c r="D57" s="1">
        <v>60</v>
      </c>
      <c r="E57" s="1">
        <v>60</v>
      </c>
      <c r="F57" s="1">
        <v>650</v>
      </c>
      <c r="G57" s="24">
        <f t="shared" si="4"/>
        <v>39</v>
      </c>
    </row>
    <row r="58" spans="1:7">
      <c r="A58" s="2">
        <v>4</v>
      </c>
      <c r="B58" s="1" t="s">
        <v>233</v>
      </c>
      <c r="C58" s="1" t="s">
        <v>111</v>
      </c>
      <c r="D58" s="1">
        <v>60</v>
      </c>
      <c r="E58" s="1">
        <v>60</v>
      </c>
      <c r="F58" s="1">
        <v>450</v>
      </c>
      <c r="G58" s="24">
        <f t="shared" si="4"/>
        <v>27</v>
      </c>
    </row>
    <row r="59" spans="1:7">
      <c r="A59" s="2">
        <v>5</v>
      </c>
      <c r="B59" s="1" t="s">
        <v>140</v>
      </c>
      <c r="C59" s="1" t="s">
        <v>111</v>
      </c>
      <c r="D59" s="1">
        <v>5</v>
      </c>
      <c r="E59" s="1">
        <v>0</v>
      </c>
      <c r="F59" s="1">
        <v>850</v>
      </c>
      <c r="G59" s="24">
        <f t="shared" si="4"/>
        <v>4.25</v>
      </c>
    </row>
    <row r="60" spans="1:7">
      <c r="A60" s="2">
        <v>6</v>
      </c>
      <c r="B60" s="1" t="s">
        <v>118</v>
      </c>
      <c r="C60" s="1" t="s">
        <v>111</v>
      </c>
      <c r="D60" s="1">
        <v>100</v>
      </c>
      <c r="E60" s="1">
        <v>80</v>
      </c>
      <c r="F60" s="1">
        <v>330</v>
      </c>
      <c r="G60" s="24">
        <f t="shared" si="4"/>
        <v>33</v>
      </c>
    </row>
    <row r="61" spans="1:7">
      <c r="A61" s="2">
        <v>7</v>
      </c>
      <c r="B61" s="1" t="s">
        <v>245</v>
      </c>
      <c r="C61" s="1" t="s">
        <v>111</v>
      </c>
      <c r="D61" s="1">
        <v>30</v>
      </c>
      <c r="E61" s="1">
        <v>30</v>
      </c>
      <c r="F61" s="1">
        <v>750</v>
      </c>
      <c r="G61" s="24">
        <f t="shared" si="4"/>
        <v>22.5</v>
      </c>
    </row>
    <row r="62" spans="1:7">
      <c r="A62" s="2">
        <v>8</v>
      </c>
      <c r="B62" s="1" t="s">
        <v>105</v>
      </c>
      <c r="C62" s="1" t="s">
        <v>111</v>
      </c>
      <c r="D62" s="1">
        <v>40</v>
      </c>
      <c r="E62" s="1">
        <v>35</v>
      </c>
      <c r="F62" s="1">
        <v>200</v>
      </c>
      <c r="G62" s="24">
        <f t="shared" si="4"/>
        <v>8</v>
      </c>
    </row>
    <row r="63" spans="1:7">
      <c r="A63" s="2">
        <v>9</v>
      </c>
      <c r="B63" s="1" t="s">
        <v>129</v>
      </c>
      <c r="C63" s="1" t="s">
        <v>111</v>
      </c>
      <c r="D63" s="1">
        <v>5</v>
      </c>
      <c r="E63" s="1">
        <v>5</v>
      </c>
      <c r="F63" s="1">
        <v>250</v>
      </c>
      <c r="G63" s="24">
        <f t="shared" si="4"/>
        <v>1.25</v>
      </c>
    </row>
    <row r="64" spans="1:7">
      <c r="A64" s="2">
        <v>10</v>
      </c>
      <c r="B64" s="1" t="s">
        <v>169</v>
      </c>
      <c r="C64" s="1" t="s">
        <v>111</v>
      </c>
      <c r="D64" s="1">
        <v>20</v>
      </c>
      <c r="E64" s="1">
        <v>10</v>
      </c>
      <c r="F64" s="1">
        <v>60</v>
      </c>
      <c r="G64" s="24">
        <f t="shared" si="4"/>
        <v>1.2</v>
      </c>
    </row>
    <row r="65" spans="1:10">
      <c r="A65" s="2">
        <v>11</v>
      </c>
      <c r="B65" s="1" t="s">
        <v>235</v>
      </c>
      <c r="C65" s="1" t="s">
        <v>111</v>
      </c>
      <c r="D65" s="1">
        <v>2</v>
      </c>
      <c r="E65" s="1">
        <v>0</v>
      </c>
      <c r="F65" s="1">
        <v>450</v>
      </c>
      <c r="G65" s="24">
        <f t="shared" si="4"/>
        <v>0.9</v>
      </c>
    </row>
    <row r="66" spans="1:10">
      <c r="B66" t="s">
        <v>10</v>
      </c>
      <c r="D66">
        <f>SUM(D55:D65)</f>
        <v>642</v>
      </c>
      <c r="E66" s="31">
        <f>SUM(E55:E65)</f>
        <v>600</v>
      </c>
      <c r="F66" s="3"/>
      <c r="G66" s="9">
        <f>SUM(G55:G65)</f>
        <v>168.88</v>
      </c>
    </row>
    <row r="67" spans="1:10">
      <c r="F67" s="49" t="s">
        <v>28</v>
      </c>
      <c r="G67" s="257">
        <f>G66*3</f>
        <v>506.64</v>
      </c>
    </row>
    <row r="68" spans="1:10" ht="17.45" customHeight="1">
      <c r="F68" s="50" t="s">
        <v>14</v>
      </c>
      <c r="G68" s="50">
        <v>420</v>
      </c>
    </row>
    <row r="69" spans="1:10">
      <c r="B69" s="14" t="s">
        <v>248</v>
      </c>
    </row>
    <row r="70" spans="1:10" ht="36">
      <c r="A70" s="1" t="s">
        <v>12</v>
      </c>
      <c r="B70" s="1" t="s">
        <v>0</v>
      </c>
      <c r="C70" s="1" t="s">
        <v>1</v>
      </c>
      <c r="D70" s="1" t="s">
        <v>2</v>
      </c>
      <c r="E70" s="1" t="s">
        <v>3</v>
      </c>
      <c r="F70" s="5" t="s">
        <v>39</v>
      </c>
      <c r="G70" s="30" t="s">
        <v>15</v>
      </c>
    </row>
    <row r="71" spans="1:10">
      <c r="A71" s="2">
        <v>1</v>
      </c>
      <c r="B71" s="1" t="s">
        <v>231</v>
      </c>
      <c r="C71" s="1" t="s">
        <v>187</v>
      </c>
      <c r="D71" s="1">
        <v>250</v>
      </c>
      <c r="E71" s="1">
        <v>250</v>
      </c>
      <c r="F71" s="1">
        <v>70</v>
      </c>
      <c r="G71" s="24">
        <f>D71*F71/1000</f>
        <v>17.5</v>
      </c>
    </row>
    <row r="72" spans="1:10">
      <c r="A72" s="2">
        <v>2</v>
      </c>
      <c r="B72" s="1" t="s">
        <v>251</v>
      </c>
      <c r="C72" s="1" t="s">
        <v>5</v>
      </c>
      <c r="D72" s="1">
        <v>80</v>
      </c>
      <c r="E72" s="1">
        <v>75</v>
      </c>
      <c r="F72" s="1">
        <v>600</v>
      </c>
      <c r="G72" s="24">
        <f t="shared" ref="G72:G80" si="5">D72*F72/1000</f>
        <v>48</v>
      </c>
    </row>
    <row r="73" spans="1:10">
      <c r="A73" s="2">
        <v>3</v>
      </c>
      <c r="B73" s="1" t="s">
        <v>194</v>
      </c>
      <c r="C73" s="1" t="s">
        <v>111</v>
      </c>
      <c r="D73" s="1">
        <v>50</v>
      </c>
      <c r="E73" s="1">
        <v>50</v>
      </c>
      <c r="F73" s="1">
        <v>650</v>
      </c>
      <c r="G73" s="24">
        <f t="shared" si="5"/>
        <v>32.5</v>
      </c>
    </row>
    <row r="74" spans="1:10">
      <c r="A74" s="2">
        <v>4</v>
      </c>
      <c r="B74" s="1" t="s">
        <v>233</v>
      </c>
      <c r="C74" s="1" t="s">
        <v>111</v>
      </c>
      <c r="D74" s="1">
        <v>30</v>
      </c>
      <c r="E74" s="1">
        <v>30</v>
      </c>
      <c r="F74" s="1">
        <v>450</v>
      </c>
      <c r="G74" s="24">
        <f t="shared" si="5"/>
        <v>13.5</v>
      </c>
    </row>
    <row r="75" spans="1:10">
      <c r="A75" s="2">
        <v>5</v>
      </c>
      <c r="B75" s="1" t="s">
        <v>140</v>
      </c>
      <c r="C75" s="1" t="s">
        <v>5</v>
      </c>
      <c r="D75" s="1">
        <v>5</v>
      </c>
      <c r="E75" s="1">
        <v>0</v>
      </c>
      <c r="F75" s="1">
        <v>850</v>
      </c>
      <c r="G75" s="24">
        <f t="shared" si="5"/>
        <v>4.25</v>
      </c>
    </row>
    <row r="76" spans="1:10">
      <c r="A76" s="2">
        <v>6</v>
      </c>
      <c r="B76" s="1" t="s">
        <v>247</v>
      </c>
      <c r="C76" s="1" t="s">
        <v>5</v>
      </c>
      <c r="D76" s="1">
        <v>30</v>
      </c>
      <c r="E76" s="1">
        <v>30</v>
      </c>
      <c r="F76" s="1">
        <v>2100</v>
      </c>
      <c r="G76" s="254">
        <f t="shared" si="5"/>
        <v>63</v>
      </c>
      <c r="H76" s="252"/>
      <c r="I76" s="252"/>
      <c r="J76" s="252"/>
    </row>
    <row r="77" spans="1:10">
      <c r="A77" s="2"/>
      <c r="B77" s="1" t="s">
        <v>763</v>
      </c>
      <c r="C77" s="1"/>
      <c r="D77" s="1">
        <v>30</v>
      </c>
      <c r="E77" s="1">
        <v>30</v>
      </c>
      <c r="F77" s="1">
        <v>950</v>
      </c>
      <c r="G77" s="254">
        <f t="shared" si="5"/>
        <v>28.5</v>
      </c>
      <c r="H77" s="252"/>
      <c r="I77" s="252"/>
      <c r="J77" s="252"/>
    </row>
    <row r="78" spans="1:10">
      <c r="A78" s="2">
        <v>8</v>
      </c>
      <c r="B78" s="295" t="s">
        <v>84</v>
      </c>
      <c r="C78" s="295" t="s">
        <v>111</v>
      </c>
      <c r="D78" s="295">
        <v>30</v>
      </c>
      <c r="E78" s="295">
        <v>30</v>
      </c>
      <c r="F78" s="295">
        <v>2400</v>
      </c>
      <c r="G78" s="299"/>
    </row>
    <row r="79" spans="1:10">
      <c r="A79" s="2">
        <v>9</v>
      </c>
      <c r="B79" s="1" t="s">
        <v>88</v>
      </c>
      <c r="C79" s="1" t="s">
        <v>111</v>
      </c>
      <c r="D79" s="1">
        <v>5</v>
      </c>
      <c r="E79" s="1">
        <v>5</v>
      </c>
      <c r="F79" s="1">
        <v>1500</v>
      </c>
      <c r="G79" s="24">
        <f t="shared" si="5"/>
        <v>7.5</v>
      </c>
    </row>
    <row r="80" spans="1:10">
      <c r="A80" s="2">
        <v>10</v>
      </c>
      <c r="B80" s="1" t="s">
        <v>76</v>
      </c>
      <c r="C80" s="1" t="s">
        <v>111</v>
      </c>
      <c r="D80" s="1">
        <v>2</v>
      </c>
      <c r="E80" s="1">
        <v>0</v>
      </c>
      <c r="F80" s="1">
        <v>850</v>
      </c>
      <c r="G80" s="24">
        <f t="shared" si="5"/>
        <v>1.7</v>
      </c>
    </row>
    <row r="81" spans="2:7">
      <c r="B81" t="s">
        <v>10</v>
      </c>
      <c r="D81">
        <f>SUM(D71:D80)</f>
        <v>512</v>
      </c>
      <c r="E81" s="29">
        <f>SUM(E71:E80)</f>
        <v>500</v>
      </c>
      <c r="F81" s="3"/>
      <c r="G81" s="9">
        <f>SUM(G71:G80)</f>
        <v>216.45</v>
      </c>
    </row>
    <row r="82" spans="2:7" ht="14.45" customHeight="1">
      <c r="F82" s="249" t="s">
        <v>28</v>
      </c>
      <c r="G82" s="258">
        <f>G81*3</f>
        <v>649.34999999999991</v>
      </c>
    </row>
    <row r="83" spans="2:7" ht="19.149999999999999" customHeight="1">
      <c r="F83" s="250" t="s">
        <v>14</v>
      </c>
      <c r="G83" s="250">
        <v>665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67"/>
  <sheetViews>
    <sheetView topLeftCell="A46" workbookViewId="0">
      <selection activeCell="H64" sqref="H64"/>
    </sheetView>
  </sheetViews>
  <sheetFormatPr defaultRowHeight="15"/>
  <cols>
    <col min="1" max="1" width="4.28515625" customWidth="1"/>
    <col min="2" max="2" width="21.85546875" customWidth="1"/>
    <col min="6" max="6" width="11.42578125" customWidth="1"/>
  </cols>
  <sheetData>
    <row r="1" spans="1:9">
      <c r="A1" s="293"/>
      <c r="B1" s="294" t="s">
        <v>252</v>
      </c>
      <c r="C1" s="293"/>
      <c r="D1" s="293"/>
      <c r="E1" s="293"/>
      <c r="F1" s="293"/>
      <c r="G1" s="293"/>
      <c r="H1" s="293"/>
      <c r="I1" s="293"/>
    </row>
    <row r="2" spans="1:9" ht="36">
      <c r="A2" s="295" t="s">
        <v>12</v>
      </c>
      <c r="B2" s="295" t="s">
        <v>0</v>
      </c>
      <c r="C2" s="295" t="s">
        <v>1</v>
      </c>
      <c r="D2" s="295" t="s">
        <v>2</v>
      </c>
      <c r="E2" s="295" t="s">
        <v>3</v>
      </c>
      <c r="F2" s="296" t="s">
        <v>39</v>
      </c>
      <c r="G2" s="297" t="s">
        <v>15</v>
      </c>
      <c r="H2" s="293"/>
      <c r="I2" s="293"/>
    </row>
    <row r="3" spans="1:9">
      <c r="A3" s="298">
        <v>1</v>
      </c>
      <c r="B3" s="295" t="s">
        <v>249</v>
      </c>
      <c r="C3" s="295" t="s">
        <v>111</v>
      </c>
      <c r="D3" s="295">
        <v>80</v>
      </c>
      <c r="E3" s="295">
        <v>120</v>
      </c>
      <c r="F3" s="295">
        <v>350</v>
      </c>
      <c r="G3" s="299">
        <f>D3*F3/1000</f>
        <v>28</v>
      </c>
      <c r="H3" s="293"/>
      <c r="I3" s="293"/>
    </row>
    <row r="4" spans="1:9">
      <c r="A4" s="298">
        <v>2</v>
      </c>
      <c r="B4" s="295" t="s">
        <v>250</v>
      </c>
      <c r="C4" s="295" t="s">
        <v>5</v>
      </c>
      <c r="D4" s="295">
        <v>100</v>
      </c>
      <c r="E4" s="295">
        <v>50</v>
      </c>
      <c r="F4" s="295">
        <v>1800</v>
      </c>
      <c r="G4" s="299">
        <f t="shared" ref="G4:G11" si="0">D4*F4/1000</f>
        <v>180</v>
      </c>
      <c r="H4" s="293" t="s">
        <v>552</v>
      </c>
      <c r="I4" s="293"/>
    </row>
    <row r="5" spans="1:9">
      <c r="A5" s="298">
        <v>3</v>
      </c>
      <c r="B5" s="295" t="s">
        <v>143</v>
      </c>
      <c r="C5" s="295" t="s">
        <v>111</v>
      </c>
      <c r="D5" s="295">
        <v>80</v>
      </c>
      <c r="E5" s="295">
        <v>60</v>
      </c>
      <c r="F5" s="295">
        <v>1600</v>
      </c>
      <c r="G5" s="299">
        <f t="shared" si="0"/>
        <v>128</v>
      </c>
      <c r="H5" s="293" t="s">
        <v>552</v>
      </c>
      <c r="I5" s="293"/>
    </row>
    <row r="6" spans="1:9">
      <c r="A6" s="298">
        <v>4</v>
      </c>
      <c r="B6" s="295" t="s">
        <v>251</v>
      </c>
      <c r="C6" s="295" t="s">
        <v>111</v>
      </c>
      <c r="D6" s="295">
        <v>80</v>
      </c>
      <c r="E6" s="295">
        <v>80</v>
      </c>
      <c r="F6" s="295">
        <v>440</v>
      </c>
      <c r="G6" s="299">
        <f t="shared" si="0"/>
        <v>35.200000000000003</v>
      </c>
      <c r="H6" s="293"/>
      <c r="I6" s="293"/>
    </row>
    <row r="7" spans="1:9">
      <c r="A7" s="298">
        <v>5</v>
      </c>
      <c r="B7" s="295" t="s">
        <v>93</v>
      </c>
      <c r="C7" s="295" t="s">
        <v>5</v>
      </c>
      <c r="D7" s="295">
        <v>25</v>
      </c>
      <c r="E7" s="295">
        <v>25</v>
      </c>
      <c r="F7" s="295">
        <v>100</v>
      </c>
      <c r="G7" s="299">
        <f t="shared" si="0"/>
        <v>2.5</v>
      </c>
      <c r="H7" s="293"/>
      <c r="I7" s="293"/>
    </row>
    <row r="8" spans="1:9">
      <c r="A8" s="298">
        <v>6</v>
      </c>
      <c r="B8" s="295" t="s">
        <v>37</v>
      </c>
      <c r="C8" s="295" t="s">
        <v>5</v>
      </c>
      <c r="D8" s="295">
        <v>10</v>
      </c>
      <c r="E8" s="295"/>
      <c r="F8" s="295">
        <v>150</v>
      </c>
      <c r="G8" s="299">
        <f t="shared" si="0"/>
        <v>1.5</v>
      </c>
      <c r="H8" s="293"/>
      <c r="I8" s="293"/>
    </row>
    <row r="9" spans="1:9">
      <c r="A9" s="298">
        <v>7</v>
      </c>
      <c r="B9" s="295" t="s">
        <v>81</v>
      </c>
      <c r="C9" s="295" t="s">
        <v>111</v>
      </c>
      <c r="D9" s="295">
        <v>15</v>
      </c>
      <c r="E9" s="295">
        <v>15</v>
      </c>
      <c r="F9" s="295">
        <v>1800</v>
      </c>
      <c r="G9" s="299">
        <f t="shared" si="0"/>
        <v>27</v>
      </c>
      <c r="H9" s="293"/>
      <c r="I9" s="293"/>
    </row>
    <row r="10" spans="1:9">
      <c r="A10" s="298">
        <v>8</v>
      </c>
      <c r="B10" s="295" t="s">
        <v>8</v>
      </c>
      <c r="C10" s="295" t="s">
        <v>111</v>
      </c>
      <c r="D10" s="295">
        <v>1</v>
      </c>
      <c r="E10" s="295"/>
      <c r="F10" s="295">
        <v>10</v>
      </c>
      <c r="G10" s="299">
        <f t="shared" si="0"/>
        <v>0.01</v>
      </c>
      <c r="H10" s="293"/>
      <c r="I10" s="293"/>
    </row>
    <row r="11" spans="1:9">
      <c r="A11" s="298">
        <v>9</v>
      </c>
      <c r="B11" s="295" t="s">
        <v>235</v>
      </c>
      <c r="C11" s="295" t="s">
        <v>111</v>
      </c>
      <c r="D11" s="295">
        <v>2</v>
      </c>
      <c r="E11" s="295">
        <v>0</v>
      </c>
      <c r="F11" s="295">
        <v>450</v>
      </c>
      <c r="G11" s="299">
        <f t="shared" si="0"/>
        <v>0.9</v>
      </c>
      <c r="H11" s="293"/>
      <c r="I11" s="293"/>
    </row>
    <row r="12" spans="1:9">
      <c r="A12" s="293"/>
      <c r="B12" s="293" t="s">
        <v>10</v>
      </c>
      <c r="C12" s="293"/>
      <c r="D12" s="293">
        <f>SUM(D3:D11)</f>
        <v>393</v>
      </c>
      <c r="E12" s="293">
        <f>SUM(E3:E11)</f>
        <v>350</v>
      </c>
      <c r="F12" s="300"/>
      <c r="G12" s="301">
        <f>SUM(G3:G11)</f>
        <v>403.10999999999996</v>
      </c>
      <c r="H12" s="293"/>
      <c r="I12" s="293"/>
    </row>
    <row r="13" spans="1:9" ht="17.45" customHeight="1">
      <c r="A13" s="293"/>
      <c r="B13" s="293"/>
      <c r="C13" s="293"/>
      <c r="D13" s="293"/>
      <c r="E13" s="293"/>
      <c r="F13" s="302" t="s">
        <v>60</v>
      </c>
      <c r="G13" s="303">
        <f>G12*2</f>
        <v>806.21999999999991</v>
      </c>
      <c r="H13" s="293"/>
      <c r="I13" s="293"/>
    </row>
    <row r="14" spans="1:9">
      <c r="A14" s="293"/>
      <c r="B14" s="293"/>
      <c r="C14" s="293"/>
      <c r="D14" s="293"/>
      <c r="E14" s="293"/>
      <c r="F14" s="302" t="s">
        <v>14</v>
      </c>
      <c r="G14" s="302">
        <v>825</v>
      </c>
      <c r="H14" s="293"/>
      <c r="I14" s="293"/>
    </row>
    <row r="15" spans="1:9">
      <c r="B15" s="14" t="s">
        <v>764</v>
      </c>
    </row>
    <row r="16" spans="1:9" ht="36">
      <c r="A16" s="4" t="s">
        <v>12</v>
      </c>
      <c r="B16" s="4" t="s">
        <v>0</v>
      </c>
      <c r="C16" s="4" t="s">
        <v>1</v>
      </c>
      <c r="D16" s="4" t="s">
        <v>2</v>
      </c>
      <c r="E16" s="4" t="s">
        <v>3</v>
      </c>
      <c r="F16" s="5" t="s">
        <v>39</v>
      </c>
      <c r="G16" s="30" t="s">
        <v>15</v>
      </c>
    </row>
    <row r="17" spans="1:9">
      <c r="A17" s="2">
        <v>1</v>
      </c>
      <c r="B17" s="1" t="s">
        <v>253</v>
      </c>
      <c r="C17" s="1" t="s">
        <v>111</v>
      </c>
      <c r="D17" s="1">
        <v>80</v>
      </c>
      <c r="E17" s="1">
        <v>120</v>
      </c>
      <c r="F17" s="1">
        <v>250</v>
      </c>
      <c r="G17" s="24">
        <f>D17*F17/1000</f>
        <v>20</v>
      </c>
    </row>
    <row r="18" spans="1:9">
      <c r="A18" s="2">
        <v>2</v>
      </c>
      <c r="B18" s="1" t="s">
        <v>254</v>
      </c>
      <c r="C18" s="1" t="s">
        <v>5</v>
      </c>
      <c r="D18" s="1">
        <v>50</v>
      </c>
      <c r="E18" s="1">
        <v>40</v>
      </c>
      <c r="F18" s="1">
        <v>200</v>
      </c>
      <c r="G18" s="24">
        <f t="shared" ref="G18:G25" si="1">D18*F18/1000</f>
        <v>10</v>
      </c>
    </row>
    <row r="19" spans="1:9">
      <c r="A19" s="2">
        <v>3</v>
      </c>
      <c r="B19" s="1" t="s">
        <v>143</v>
      </c>
      <c r="C19" s="1" t="s">
        <v>111</v>
      </c>
      <c r="D19" s="1">
        <v>120</v>
      </c>
      <c r="E19" s="1">
        <v>60</v>
      </c>
      <c r="F19" s="1">
        <v>950</v>
      </c>
      <c r="G19" s="304">
        <f>F19*D19/1000</f>
        <v>114</v>
      </c>
      <c r="H19" s="291"/>
      <c r="I19" s="291"/>
    </row>
    <row r="20" spans="1:9">
      <c r="A20" s="2">
        <v>4</v>
      </c>
      <c r="B20" s="1" t="s">
        <v>251</v>
      </c>
      <c r="C20" s="1" t="s">
        <v>111</v>
      </c>
      <c r="D20" s="1">
        <v>80</v>
      </c>
      <c r="E20" s="1">
        <v>80</v>
      </c>
      <c r="F20" s="1">
        <v>650</v>
      </c>
      <c r="G20" s="24">
        <f t="shared" si="1"/>
        <v>52</v>
      </c>
    </row>
    <row r="21" spans="1:9">
      <c r="A21" s="2">
        <v>5</v>
      </c>
      <c r="B21" s="1" t="s">
        <v>162</v>
      </c>
      <c r="C21" s="1" t="s">
        <v>5</v>
      </c>
      <c r="D21" s="1">
        <v>20</v>
      </c>
      <c r="E21" s="1">
        <v>15</v>
      </c>
      <c r="F21" s="1">
        <v>30</v>
      </c>
      <c r="G21" s="24">
        <f t="shared" si="1"/>
        <v>0.6</v>
      </c>
    </row>
    <row r="22" spans="1:9">
      <c r="A22" s="2">
        <v>6</v>
      </c>
      <c r="B22" s="1" t="s">
        <v>37</v>
      </c>
      <c r="C22" s="1" t="s">
        <v>5</v>
      </c>
      <c r="D22" s="1">
        <v>10</v>
      </c>
      <c r="E22" s="1"/>
      <c r="F22" s="1">
        <v>150</v>
      </c>
      <c r="G22" s="24">
        <f t="shared" si="1"/>
        <v>1.5</v>
      </c>
    </row>
    <row r="23" spans="1:9">
      <c r="A23" s="2">
        <v>7</v>
      </c>
      <c r="B23" s="1" t="s">
        <v>81</v>
      </c>
      <c r="C23" s="1" t="s">
        <v>111</v>
      </c>
      <c r="D23" s="1">
        <v>5</v>
      </c>
      <c r="E23" s="1">
        <v>5</v>
      </c>
      <c r="F23" s="1">
        <v>1600</v>
      </c>
      <c r="G23" s="24">
        <f t="shared" si="1"/>
        <v>8</v>
      </c>
    </row>
    <row r="24" spans="1:9">
      <c r="A24" s="2">
        <v>8</v>
      </c>
      <c r="B24" s="1" t="s">
        <v>8</v>
      </c>
      <c r="C24" s="1" t="s">
        <v>111</v>
      </c>
      <c r="D24" s="1">
        <v>1</v>
      </c>
      <c r="E24" s="1"/>
      <c r="F24" s="1">
        <v>10</v>
      </c>
      <c r="G24" s="24">
        <f t="shared" si="1"/>
        <v>0.01</v>
      </c>
    </row>
    <row r="25" spans="1:9">
      <c r="A25" s="2">
        <v>9</v>
      </c>
      <c r="B25" s="1" t="s">
        <v>235</v>
      </c>
      <c r="C25" s="1" t="s">
        <v>111</v>
      </c>
      <c r="D25" s="1">
        <v>2</v>
      </c>
      <c r="E25" s="1"/>
      <c r="F25" s="1">
        <v>450</v>
      </c>
      <c r="G25" s="24">
        <f t="shared" si="1"/>
        <v>0.9</v>
      </c>
    </row>
    <row r="26" spans="1:9">
      <c r="B26" t="s">
        <v>10</v>
      </c>
      <c r="D26">
        <f>SUM(D17:D25)</f>
        <v>368</v>
      </c>
      <c r="E26" s="29">
        <f>SUM(E17:E25)</f>
        <v>320</v>
      </c>
      <c r="F26" s="3"/>
      <c r="G26" s="9">
        <f>SUM(G17:G25)</f>
        <v>207.01</v>
      </c>
    </row>
    <row r="27" spans="1:9">
      <c r="F27" s="249" t="s">
        <v>558</v>
      </c>
      <c r="G27" s="258">
        <f>G26*2.8</f>
        <v>579.62799999999993</v>
      </c>
    </row>
    <row r="28" spans="1:9">
      <c r="F28" s="250" t="s">
        <v>14</v>
      </c>
      <c r="G28" s="250">
        <v>620</v>
      </c>
    </row>
    <row r="29" spans="1:9">
      <c r="B29" s="14" t="s">
        <v>255</v>
      </c>
    </row>
    <row r="30" spans="1:9" ht="36">
      <c r="A30" s="4" t="s">
        <v>12</v>
      </c>
      <c r="B30" s="4" t="s">
        <v>0</v>
      </c>
      <c r="C30" s="4" t="s">
        <v>1</v>
      </c>
      <c r="D30" s="4" t="s">
        <v>2</v>
      </c>
      <c r="E30" s="4" t="s">
        <v>3</v>
      </c>
      <c r="F30" s="5" t="s">
        <v>39</v>
      </c>
      <c r="G30" s="30" t="s">
        <v>15</v>
      </c>
    </row>
    <row r="31" spans="1:9">
      <c r="A31" s="2">
        <v>1</v>
      </c>
      <c r="B31" s="1" t="s">
        <v>256</v>
      </c>
      <c r="C31" s="1" t="s">
        <v>111</v>
      </c>
      <c r="D31" s="1">
        <v>80</v>
      </c>
      <c r="E31" s="1">
        <v>120</v>
      </c>
      <c r="F31" s="1">
        <v>250</v>
      </c>
      <c r="G31" s="24">
        <f>D31*F31/1000</f>
        <v>20</v>
      </c>
    </row>
    <row r="32" spans="1:9">
      <c r="A32" s="2">
        <v>2</v>
      </c>
      <c r="B32" s="1" t="s">
        <v>257</v>
      </c>
      <c r="C32" s="1" t="s">
        <v>5</v>
      </c>
      <c r="D32" s="1">
        <v>80</v>
      </c>
      <c r="E32" s="1">
        <v>60</v>
      </c>
      <c r="F32" s="1">
        <v>1800</v>
      </c>
      <c r="G32" s="24">
        <f t="shared" ref="G32:G39" si="2">D32*F32/1000</f>
        <v>144</v>
      </c>
    </row>
    <row r="33" spans="1:7">
      <c r="A33" s="2">
        <v>3</v>
      </c>
      <c r="B33" s="1" t="s">
        <v>162</v>
      </c>
      <c r="C33" s="1" t="s">
        <v>111</v>
      </c>
      <c r="D33" s="1">
        <v>30</v>
      </c>
      <c r="E33" s="1">
        <v>25</v>
      </c>
      <c r="F33" s="1">
        <v>30</v>
      </c>
      <c r="G33" s="24">
        <f t="shared" si="2"/>
        <v>0.9</v>
      </c>
    </row>
    <row r="34" spans="1:7">
      <c r="A34" s="2">
        <v>4</v>
      </c>
      <c r="B34" s="1" t="s">
        <v>258</v>
      </c>
      <c r="C34" s="1" t="s">
        <v>111</v>
      </c>
      <c r="D34" s="1">
        <v>30</v>
      </c>
      <c r="E34" s="1">
        <v>25</v>
      </c>
      <c r="F34" s="1">
        <v>250</v>
      </c>
      <c r="G34" s="24">
        <f t="shared" si="2"/>
        <v>7.5</v>
      </c>
    </row>
    <row r="35" spans="1:7">
      <c r="A35" s="2">
        <v>5</v>
      </c>
      <c r="B35" s="1" t="s">
        <v>251</v>
      </c>
      <c r="C35" s="1" t="s">
        <v>5</v>
      </c>
      <c r="D35" s="1">
        <v>80</v>
      </c>
      <c r="E35" s="1">
        <v>80</v>
      </c>
      <c r="F35" s="1">
        <v>650</v>
      </c>
      <c r="G35" s="24">
        <f t="shared" si="2"/>
        <v>52</v>
      </c>
    </row>
    <row r="36" spans="1:7">
      <c r="A36" s="2">
        <v>6</v>
      </c>
      <c r="B36" s="1" t="s">
        <v>37</v>
      </c>
      <c r="C36" s="1" t="s">
        <v>5</v>
      </c>
      <c r="D36" s="1">
        <v>10</v>
      </c>
      <c r="E36" s="1"/>
      <c r="F36" s="1">
        <v>150</v>
      </c>
      <c r="G36" s="24">
        <f t="shared" si="2"/>
        <v>1.5</v>
      </c>
    </row>
    <row r="37" spans="1:7">
      <c r="A37" s="2">
        <v>7</v>
      </c>
      <c r="B37" s="1" t="s">
        <v>81</v>
      </c>
      <c r="C37" s="1" t="s">
        <v>111</v>
      </c>
      <c r="D37" s="1">
        <v>15</v>
      </c>
      <c r="E37" s="1">
        <v>15</v>
      </c>
      <c r="F37" s="1">
        <v>1800</v>
      </c>
      <c r="G37" s="24">
        <f t="shared" si="2"/>
        <v>27</v>
      </c>
    </row>
    <row r="38" spans="1:7">
      <c r="A38" s="2">
        <v>8</v>
      </c>
      <c r="B38" s="1" t="s">
        <v>8</v>
      </c>
      <c r="C38" s="1" t="s">
        <v>111</v>
      </c>
      <c r="D38" s="1">
        <v>5</v>
      </c>
      <c r="E38" s="1">
        <v>5</v>
      </c>
      <c r="F38" s="1">
        <v>10</v>
      </c>
      <c r="G38" s="24">
        <f t="shared" si="2"/>
        <v>0.05</v>
      </c>
    </row>
    <row r="39" spans="1:7">
      <c r="A39" s="2">
        <v>9</v>
      </c>
      <c r="B39" s="1" t="s">
        <v>235</v>
      </c>
      <c r="C39" s="1" t="s">
        <v>111</v>
      </c>
      <c r="D39" s="1">
        <v>2</v>
      </c>
      <c r="E39" s="1">
        <v>0</v>
      </c>
      <c r="F39" s="1">
        <v>450</v>
      </c>
      <c r="G39" s="24">
        <f t="shared" si="2"/>
        <v>0.9</v>
      </c>
    </row>
    <row r="40" spans="1:7">
      <c r="B40" t="s">
        <v>10</v>
      </c>
      <c r="D40">
        <f>SUM(D31:D39)</f>
        <v>332</v>
      </c>
      <c r="E40" s="29">
        <f>SUM(E31:E39)</f>
        <v>330</v>
      </c>
      <c r="F40" s="3"/>
      <c r="G40" s="9">
        <f>SUM(G31:G39)</f>
        <v>253.85000000000002</v>
      </c>
    </row>
    <row r="41" spans="1:7">
      <c r="F41" s="49" t="s">
        <v>28</v>
      </c>
      <c r="G41" s="257">
        <f>G40*3</f>
        <v>761.55000000000007</v>
      </c>
    </row>
    <row r="42" spans="1:7">
      <c r="F42" s="50" t="s">
        <v>14</v>
      </c>
      <c r="G42" s="50">
        <v>550</v>
      </c>
    </row>
    <row r="43" spans="1:7">
      <c r="B43" s="14" t="s">
        <v>260</v>
      </c>
    </row>
    <row r="44" spans="1:7" ht="36">
      <c r="A44" s="4" t="s">
        <v>12</v>
      </c>
      <c r="B44" s="4" t="s">
        <v>0</v>
      </c>
      <c r="C44" s="4" t="s">
        <v>1</v>
      </c>
      <c r="D44" s="4" t="s">
        <v>2</v>
      </c>
      <c r="E44" s="4" t="s">
        <v>3</v>
      </c>
      <c r="F44" s="5" t="s">
        <v>39</v>
      </c>
      <c r="G44" s="30" t="s">
        <v>15</v>
      </c>
    </row>
    <row r="45" spans="1:7">
      <c r="A45" s="2">
        <v>1</v>
      </c>
      <c r="B45" s="1" t="s">
        <v>253</v>
      </c>
      <c r="C45" s="1" t="s">
        <v>111</v>
      </c>
      <c r="D45" s="1">
        <v>80</v>
      </c>
      <c r="E45" s="1">
        <v>120</v>
      </c>
      <c r="F45" s="1">
        <v>250</v>
      </c>
      <c r="G45" s="24">
        <f>D45*F45/1000</f>
        <v>20</v>
      </c>
    </row>
    <row r="46" spans="1:7">
      <c r="A46" s="2">
        <v>2</v>
      </c>
      <c r="B46" s="1" t="s">
        <v>118</v>
      </c>
      <c r="C46" s="1" t="s">
        <v>5</v>
      </c>
      <c r="D46" s="1">
        <v>100</v>
      </c>
      <c r="E46" s="1">
        <v>80</v>
      </c>
      <c r="F46" s="1">
        <v>330</v>
      </c>
      <c r="G46" s="24">
        <f t="shared" ref="G46:G53" si="3">D46*F46/1000</f>
        <v>33</v>
      </c>
    </row>
    <row r="47" spans="1:7">
      <c r="A47" s="2">
        <v>3</v>
      </c>
      <c r="B47" s="1" t="s">
        <v>259</v>
      </c>
      <c r="C47" s="1" t="s">
        <v>111</v>
      </c>
      <c r="D47" s="1">
        <v>50</v>
      </c>
      <c r="E47" s="1">
        <v>30</v>
      </c>
      <c r="F47" s="1">
        <v>300</v>
      </c>
      <c r="G47" s="24">
        <f t="shared" si="3"/>
        <v>15</v>
      </c>
    </row>
    <row r="48" spans="1:7">
      <c r="A48" s="2">
        <v>4</v>
      </c>
      <c r="B48" s="1" t="s">
        <v>251</v>
      </c>
      <c r="C48" s="1" t="s">
        <v>111</v>
      </c>
      <c r="D48" s="1">
        <v>80</v>
      </c>
      <c r="E48" s="1">
        <v>80</v>
      </c>
      <c r="F48" s="1">
        <v>650</v>
      </c>
      <c r="G48" s="24">
        <f t="shared" si="3"/>
        <v>52</v>
      </c>
    </row>
    <row r="49" spans="1:7">
      <c r="A49" s="2">
        <v>5</v>
      </c>
      <c r="B49" s="1" t="s">
        <v>162</v>
      </c>
      <c r="C49" s="1" t="s">
        <v>5</v>
      </c>
      <c r="D49" s="1">
        <v>30</v>
      </c>
      <c r="E49" s="1">
        <v>25</v>
      </c>
      <c r="F49" s="1">
        <v>30</v>
      </c>
      <c r="G49" s="24">
        <f>D49*F49/1000</f>
        <v>0.9</v>
      </c>
    </row>
    <row r="50" spans="1:7">
      <c r="A50" s="2">
        <v>6</v>
      </c>
      <c r="B50" s="1" t="s">
        <v>37</v>
      </c>
      <c r="C50" s="1" t="s">
        <v>5</v>
      </c>
      <c r="D50" s="1">
        <v>10</v>
      </c>
      <c r="E50" s="1"/>
      <c r="F50" s="1">
        <v>126</v>
      </c>
      <c r="G50" s="24">
        <f t="shared" si="3"/>
        <v>1.26</v>
      </c>
    </row>
    <row r="51" spans="1:7">
      <c r="A51" s="2">
        <v>7</v>
      </c>
      <c r="B51" s="1" t="s">
        <v>81</v>
      </c>
      <c r="C51" s="1" t="s">
        <v>111</v>
      </c>
      <c r="D51" s="1">
        <v>15</v>
      </c>
      <c r="E51" s="1">
        <v>15</v>
      </c>
      <c r="F51" s="1">
        <v>1800</v>
      </c>
      <c r="G51" s="24">
        <f t="shared" si="3"/>
        <v>27</v>
      </c>
    </row>
    <row r="52" spans="1:7">
      <c r="A52" s="2">
        <v>8</v>
      </c>
      <c r="B52" s="1" t="s">
        <v>8</v>
      </c>
      <c r="C52" s="1" t="s">
        <v>111</v>
      </c>
      <c r="D52" s="1">
        <v>5</v>
      </c>
      <c r="E52" s="1"/>
      <c r="F52" s="1">
        <v>10</v>
      </c>
      <c r="G52" s="24">
        <f t="shared" si="3"/>
        <v>0.05</v>
      </c>
    </row>
    <row r="53" spans="1:7">
      <c r="A53" s="2">
        <v>9</v>
      </c>
      <c r="B53" s="1" t="s">
        <v>235</v>
      </c>
      <c r="C53" s="1" t="s">
        <v>111</v>
      </c>
      <c r="D53" s="1">
        <v>2</v>
      </c>
      <c r="E53" s="1">
        <v>0</v>
      </c>
      <c r="F53" s="1">
        <v>450</v>
      </c>
      <c r="G53" s="24">
        <f t="shared" si="3"/>
        <v>0.9</v>
      </c>
    </row>
    <row r="54" spans="1:7">
      <c r="B54" t="s">
        <v>10</v>
      </c>
      <c r="D54">
        <f>SUM(D45:D53)</f>
        <v>372</v>
      </c>
      <c r="E54" s="29">
        <f>SUM(E45:E53)</f>
        <v>350</v>
      </c>
      <c r="F54" s="3"/>
      <c r="G54" s="9">
        <f>SUM(G45:G53)</f>
        <v>150.11000000000004</v>
      </c>
    </row>
    <row r="55" spans="1:7">
      <c r="F55" s="49" t="s">
        <v>28</v>
      </c>
      <c r="G55" s="257">
        <f>G54*3</f>
        <v>450.33000000000015</v>
      </c>
    </row>
    <row r="56" spans="1:7">
      <c r="F56" s="50" t="s">
        <v>14</v>
      </c>
      <c r="G56" s="50">
        <v>460</v>
      </c>
    </row>
    <row r="57" spans="1:7">
      <c r="B57" s="14" t="s">
        <v>262</v>
      </c>
    </row>
    <row r="58" spans="1:7" ht="36">
      <c r="A58" s="4" t="s">
        <v>12</v>
      </c>
      <c r="B58" s="4" t="s">
        <v>0</v>
      </c>
      <c r="C58" s="4" t="s">
        <v>1</v>
      </c>
      <c r="D58" s="4" t="s">
        <v>2</v>
      </c>
      <c r="E58" s="4" t="s">
        <v>3</v>
      </c>
      <c r="F58" s="5" t="s">
        <v>39</v>
      </c>
      <c r="G58" s="30" t="s">
        <v>15</v>
      </c>
    </row>
    <row r="59" spans="1:7">
      <c r="A59" s="2">
        <v>1</v>
      </c>
      <c r="B59" s="1" t="s">
        <v>256</v>
      </c>
      <c r="C59" s="1" t="s">
        <v>111</v>
      </c>
      <c r="D59" s="1">
        <v>80</v>
      </c>
      <c r="E59" s="1">
        <v>120</v>
      </c>
      <c r="F59" s="1">
        <v>250</v>
      </c>
      <c r="G59" s="24">
        <f>D59*F59/1000</f>
        <v>20</v>
      </c>
    </row>
    <row r="60" spans="1:7">
      <c r="A60" s="2">
        <v>2</v>
      </c>
      <c r="B60" s="1" t="s">
        <v>261</v>
      </c>
      <c r="C60" s="1" t="s">
        <v>5</v>
      </c>
      <c r="D60" s="1">
        <v>200</v>
      </c>
      <c r="E60" s="1">
        <v>200</v>
      </c>
      <c r="F60" s="1">
        <v>450</v>
      </c>
      <c r="G60" s="24">
        <f t="shared" ref="G60:G64" si="4">D60*F60/1000</f>
        <v>90</v>
      </c>
    </row>
    <row r="61" spans="1:7">
      <c r="A61" s="2">
        <v>3</v>
      </c>
      <c r="B61" s="1" t="s">
        <v>81</v>
      </c>
      <c r="C61" s="1" t="s">
        <v>111</v>
      </c>
      <c r="D61" s="1">
        <v>15</v>
      </c>
      <c r="E61" s="1">
        <v>15</v>
      </c>
      <c r="F61" s="1">
        <v>1800</v>
      </c>
      <c r="G61" s="24">
        <f t="shared" si="4"/>
        <v>27</v>
      </c>
    </row>
    <row r="62" spans="1:7">
      <c r="A62" s="2">
        <v>4</v>
      </c>
      <c r="B62" s="1" t="s">
        <v>8</v>
      </c>
      <c r="C62" s="1" t="s">
        <v>111</v>
      </c>
      <c r="D62" s="1">
        <v>5</v>
      </c>
      <c r="E62" s="1"/>
      <c r="F62" s="1">
        <v>10</v>
      </c>
      <c r="G62" s="24">
        <f t="shared" si="4"/>
        <v>0.05</v>
      </c>
    </row>
    <row r="63" spans="1:7">
      <c r="A63" s="2">
        <v>5</v>
      </c>
      <c r="B63" s="1" t="s">
        <v>235</v>
      </c>
      <c r="C63" s="1" t="s">
        <v>111</v>
      </c>
      <c r="D63" s="1">
        <v>2</v>
      </c>
      <c r="E63" s="1">
        <v>0</v>
      </c>
      <c r="F63" s="1">
        <v>450</v>
      </c>
      <c r="G63" s="24">
        <f t="shared" si="4"/>
        <v>0.9</v>
      </c>
    </row>
    <row r="64" spans="1:7">
      <c r="A64" s="223">
        <v>6</v>
      </c>
      <c r="B64" s="224" t="s">
        <v>291</v>
      </c>
      <c r="C64" s="224" t="s">
        <v>111</v>
      </c>
      <c r="D64" s="224">
        <v>50</v>
      </c>
      <c r="E64" s="224">
        <v>20</v>
      </c>
      <c r="F64" s="224">
        <v>150</v>
      </c>
      <c r="G64" s="259">
        <f t="shared" si="4"/>
        <v>7.5</v>
      </c>
    </row>
    <row r="65" spans="2:7">
      <c r="B65" t="s">
        <v>10</v>
      </c>
      <c r="D65">
        <f>SUM(D59:D64)</f>
        <v>352</v>
      </c>
      <c r="E65" s="29">
        <f>SUM(E59:E64)</f>
        <v>355</v>
      </c>
      <c r="F65" s="3"/>
      <c r="G65" s="9">
        <f>SUM(G59:G64)</f>
        <v>145.45000000000002</v>
      </c>
    </row>
    <row r="66" spans="2:7">
      <c r="F66" s="49" t="s">
        <v>28</v>
      </c>
      <c r="G66" s="257">
        <f>G65*3</f>
        <v>436.35</v>
      </c>
    </row>
    <row r="67" spans="2:7">
      <c r="F67" s="50" t="s">
        <v>14</v>
      </c>
      <c r="G67" s="50">
        <v>430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149"/>
  <sheetViews>
    <sheetView topLeftCell="A25" workbookViewId="0">
      <selection activeCell="E87" sqref="E87"/>
    </sheetView>
  </sheetViews>
  <sheetFormatPr defaultRowHeight="15"/>
  <cols>
    <col min="1" max="1" width="3.5703125" style="84" customWidth="1"/>
    <col min="2" max="2" width="23.7109375" customWidth="1"/>
    <col min="3" max="3" width="8" customWidth="1"/>
    <col min="4" max="4" width="8.7109375" customWidth="1"/>
    <col min="5" max="5" width="9" customWidth="1"/>
    <col min="6" max="6" width="10" customWidth="1"/>
  </cols>
  <sheetData>
    <row r="1" spans="1:11" ht="15.75">
      <c r="B1" s="41" t="s">
        <v>304</v>
      </c>
      <c r="C1" s="41"/>
    </row>
    <row r="2" spans="1:11" ht="36">
      <c r="A2" s="4" t="s">
        <v>12</v>
      </c>
      <c r="B2" s="4" t="s">
        <v>0</v>
      </c>
      <c r="C2" s="4" t="s">
        <v>1</v>
      </c>
      <c r="D2" s="4" t="s">
        <v>2</v>
      </c>
      <c r="E2" s="4" t="s">
        <v>3</v>
      </c>
      <c r="F2" s="5" t="s">
        <v>39</v>
      </c>
      <c r="G2" s="30" t="s">
        <v>15</v>
      </c>
    </row>
    <row r="3" spans="1:11">
      <c r="A3" s="4">
        <v>1</v>
      </c>
      <c r="B3" s="1" t="s">
        <v>305</v>
      </c>
      <c r="C3" s="1" t="s">
        <v>111</v>
      </c>
      <c r="D3" s="1">
        <v>150</v>
      </c>
      <c r="E3" s="1">
        <v>110</v>
      </c>
      <c r="F3" s="47">
        <v>250</v>
      </c>
      <c r="G3" s="19">
        <f>F3*D3/1000</f>
        <v>37.5</v>
      </c>
    </row>
    <row r="4" spans="1:11">
      <c r="A4" s="4">
        <v>2</v>
      </c>
      <c r="B4" s="1" t="s">
        <v>767</v>
      </c>
      <c r="C4" s="1" t="s">
        <v>111</v>
      </c>
      <c r="D4" s="1">
        <v>100</v>
      </c>
      <c r="E4" s="1">
        <v>60</v>
      </c>
      <c r="F4" s="1">
        <v>1200</v>
      </c>
      <c r="G4" s="254">
        <f>F4*D4/1000</f>
        <v>120</v>
      </c>
      <c r="H4" s="252"/>
      <c r="I4" s="252"/>
      <c r="J4" s="252"/>
      <c r="K4" s="252"/>
    </row>
    <row r="5" spans="1:11">
      <c r="A5" s="4">
        <v>3</v>
      </c>
      <c r="B5" s="1" t="s">
        <v>306</v>
      </c>
      <c r="C5" s="1" t="s">
        <v>111</v>
      </c>
      <c r="D5" s="1">
        <v>40</v>
      </c>
      <c r="E5" s="1">
        <v>20</v>
      </c>
      <c r="F5" s="1">
        <v>650</v>
      </c>
      <c r="G5" s="24">
        <f>F5*D5/1000</f>
        <v>26</v>
      </c>
    </row>
    <row r="6" spans="1:11">
      <c r="A6" s="4">
        <v>4</v>
      </c>
      <c r="B6" s="1" t="s">
        <v>297</v>
      </c>
      <c r="C6" s="1" t="s">
        <v>111</v>
      </c>
      <c r="D6" s="1">
        <v>40</v>
      </c>
      <c r="E6" s="1">
        <v>35</v>
      </c>
      <c r="F6" s="1">
        <v>250</v>
      </c>
      <c r="G6" s="24">
        <f t="shared" ref="G6:G16" si="0">F6*D6/1000</f>
        <v>10</v>
      </c>
    </row>
    <row r="7" spans="1:11">
      <c r="A7" s="4">
        <v>5</v>
      </c>
      <c r="B7" s="1" t="s">
        <v>298</v>
      </c>
      <c r="C7" s="1" t="s">
        <v>111</v>
      </c>
      <c r="D7" s="1">
        <v>1</v>
      </c>
      <c r="E7" s="1"/>
      <c r="F7" s="1">
        <v>200</v>
      </c>
      <c r="G7" s="24">
        <f t="shared" si="0"/>
        <v>0.2</v>
      </c>
    </row>
    <row r="8" spans="1:11">
      <c r="A8" s="4">
        <v>6</v>
      </c>
      <c r="B8" s="1" t="s">
        <v>308</v>
      </c>
      <c r="C8" s="1" t="s">
        <v>111</v>
      </c>
      <c r="D8" s="1">
        <v>1</v>
      </c>
      <c r="E8" s="1"/>
      <c r="F8" s="1">
        <v>200</v>
      </c>
      <c r="G8" s="24">
        <f t="shared" si="0"/>
        <v>0.2</v>
      </c>
    </row>
    <row r="9" spans="1:11">
      <c r="A9" s="4">
        <v>7</v>
      </c>
      <c r="B9" s="1" t="s">
        <v>229</v>
      </c>
      <c r="C9" s="1" t="s">
        <v>111</v>
      </c>
      <c r="D9" s="1">
        <v>1</v>
      </c>
      <c r="E9" s="1"/>
      <c r="F9" s="1">
        <v>200</v>
      </c>
      <c r="G9" s="24">
        <f t="shared" si="0"/>
        <v>0.2</v>
      </c>
    </row>
    <row r="10" spans="1:11">
      <c r="A10" s="4">
        <v>8</v>
      </c>
      <c r="B10" s="1" t="s">
        <v>299</v>
      </c>
      <c r="C10" s="1" t="s">
        <v>111</v>
      </c>
      <c r="D10" s="1">
        <v>20</v>
      </c>
      <c r="E10" s="1">
        <v>20</v>
      </c>
      <c r="F10" s="1">
        <v>850</v>
      </c>
      <c r="G10" s="24">
        <f t="shared" si="0"/>
        <v>17</v>
      </c>
    </row>
    <row r="11" spans="1:11">
      <c r="A11" s="4">
        <v>9</v>
      </c>
      <c r="B11" s="1" t="s">
        <v>137</v>
      </c>
      <c r="C11" s="1" t="s">
        <v>111</v>
      </c>
      <c r="D11" s="1">
        <v>1</v>
      </c>
      <c r="E11" s="1"/>
      <c r="F11" s="1">
        <v>500</v>
      </c>
      <c r="G11" s="24">
        <f t="shared" si="0"/>
        <v>0.5</v>
      </c>
    </row>
    <row r="12" spans="1:11">
      <c r="A12" s="4">
        <v>10</v>
      </c>
      <c r="B12" s="1" t="s">
        <v>303</v>
      </c>
      <c r="C12" s="1" t="s">
        <v>111</v>
      </c>
      <c r="D12" s="1">
        <v>60</v>
      </c>
      <c r="E12" s="1">
        <v>60</v>
      </c>
      <c r="F12" s="1">
        <v>200</v>
      </c>
      <c r="G12" s="24">
        <f t="shared" si="0"/>
        <v>12</v>
      </c>
    </row>
    <row r="13" spans="1:11">
      <c r="A13" s="4">
        <v>11</v>
      </c>
      <c r="B13" s="1" t="s">
        <v>768</v>
      </c>
      <c r="C13" s="1" t="s">
        <v>111</v>
      </c>
      <c r="D13" s="1">
        <v>40</v>
      </c>
      <c r="E13" s="1">
        <v>35</v>
      </c>
      <c r="F13" s="1">
        <v>180</v>
      </c>
      <c r="G13" s="24">
        <f t="shared" si="0"/>
        <v>7.2</v>
      </c>
    </row>
    <row r="14" spans="1:11">
      <c r="A14" s="4">
        <v>12</v>
      </c>
      <c r="B14" s="1" t="s">
        <v>171</v>
      </c>
      <c r="C14" s="1" t="s">
        <v>111</v>
      </c>
      <c r="D14" s="1">
        <v>1</v>
      </c>
      <c r="E14" s="1"/>
      <c r="F14" s="1">
        <v>150</v>
      </c>
      <c r="G14" s="24">
        <f t="shared" si="0"/>
        <v>0.15</v>
      </c>
    </row>
    <row r="15" spans="1:11">
      <c r="A15" s="4">
        <v>13</v>
      </c>
      <c r="B15" s="1" t="s">
        <v>301</v>
      </c>
      <c r="C15" s="1" t="s">
        <v>111</v>
      </c>
      <c r="D15" s="1">
        <v>30</v>
      </c>
      <c r="E15" s="1">
        <v>30</v>
      </c>
      <c r="F15" s="1">
        <v>650</v>
      </c>
      <c r="G15" s="24">
        <f t="shared" si="0"/>
        <v>19.5</v>
      </c>
    </row>
    <row r="16" spans="1:11">
      <c r="A16" s="4">
        <v>14</v>
      </c>
      <c r="B16" s="1" t="s">
        <v>307</v>
      </c>
      <c r="C16" s="1" t="s">
        <v>111</v>
      </c>
      <c r="D16" s="1">
        <v>20</v>
      </c>
      <c r="E16" s="1">
        <v>20</v>
      </c>
      <c r="F16" s="1">
        <v>600</v>
      </c>
      <c r="G16" s="24">
        <f t="shared" si="0"/>
        <v>12</v>
      </c>
    </row>
    <row r="17" spans="1:7">
      <c r="B17" s="84"/>
      <c r="C17" s="84"/>
      <c r="D17">
        <f>SUM(D3:D16)</f>
        <v>505</v>
      </c>
      <c r="E17">
        <f>SUM(E3:E16)</f>
        <v>390</v>
      </c>
      <c r="G17" s="215">
        <f>SUM(G3:G16)</f>
        <v>262.44999999999993</v>
      </c>
    </row>
    <row r="18" spans="1:7" ht="15.6" customHeight="1">
      <c r="B18" s="48"/>
      <c r="F18" s="245" t="s">
        <v>28</v>
      </c>
      <c r="G18" s="258">
        <f>G17*3</f>
        <v>787.3499999999998</v>
      </c>
    </row>
    <row r="19" spans="1:7" ht="16.149999999999999" customHeight="1">
      <c r="B19" s="48"/>
      <c r="F19" s="247" t="s">
        <v>14</v>
      </c>
      <c r="G19" s="250">
        <v>670</v>
      </c>
    </row>
    <row r="20" spans="1:7" ht="18.75">
      <c r="A20" s="85"/>
      <c r="B20" s="71" t="s">
        <v>544</v>
      </c>
      <c r="C20" s="42"/>
      <c r="D20" s="43"/>
      <c r="E20" s="34"/>
      <c r="F20" s="33"/>
      <c r="G20" s="35"/>
    </row>
    <row r="21" spans="1:7" ht="36">
      <c r="A21" s="4" t="s">
        <v>12</v>
      </c>
      <c r="B21" s="4" t="s">
        <v>0</v>
      </c>
      <c r="C21" s="4" t="s">
        <v>1</v>
      </c>
      <c r="D21" s="4" t="s">
        <v>2</v>
      </c>
      <c r="E21" s="4" t="s">
        <v>3</v>
      </c>
      <c r="F21" s="5" t="s">
        <v>39</v>
      </c>
      <c r="G21" s="30" t="s">
        <v>15</v>
      </c>
    </row>
    <row r="22" spans="1:7">
      <c r="A22" s="86">
        <v>1</v>
      </c>
      <c r="B22" s="51" t="s">
        <v>263</v>
      </c>
      <c r="C22" s="1" t="s">
        <v>111</v>
      </c>
      <c r="D22" s="52">
        <v>20</v>
      </c>
      <c r="E22" s="52">
        <v>16</v>
      </c>
      <c r="F22" s="53">
        <v>30</v>
      </c>
      <c r="G22" s="260">
        <f>D22*F22/1000</f>
        <v>0.6</v>
      </c>
    </row>
    <row r="23" spans="1:7">
      <c r="A23" s="86">
        <v>2</v>
      </c>
      <c r="B23" s="51" t="s">
        <v>264</v>
      </c>
      <c r="C23" s="1" t="s">
        <v>111</v>
      </c>
      <c r="D23" s="52">
        <v>10</v>
      </c>
      <c r="E23" s="52">
        <v>6</v>
      </c>
      <c r="F23" s="53">
        <v>30</v>
      </c>
      <c r="G23" s="260">
        <f t="shared" ref="G23:G32" si="1">D23*F23/1000</f>
        <v>0.3</v>
      </c>
    </row>
    <row r="24" spans="1:7">
      <c r="A24" s="86">
        <v>3</v>
      </c>
      <c r="B24" s="51" t="s">
        <v>214</v>
      </c>
      <c r="C24" s="1" t="s">
        <v>111</v>
      </c>
      <c r="D24" s="52">
        <v>10</v>
      </c>
      <c r="E24" s="51"/>
      <c r="F24" s="53">
        <v>150</v>
      </c>
      <c r="G24" s="260">
        <f t="shared" si="1"/>
        <v>1.5</v>
      </c>
    </row>
    <row r="25" spans="1:7">
      <c r="A25" s="86">
        <v>4</v>
      </c>
      <c r="B25" s="51" t="s">
        <v>117</v>
      </c>
      <c r="C25" s="1" t="s">
        <v>111</v>
      </c>
      <c r="D25" s="52">
        <v>1</v>
      </c>
      <c r="E25" s="51"/>
      <c r="F25" s="53">
        <v>30</v>
      </c>
      <c r="G25" s="260">
        <f t="shared" si="1"/>
        <v>0.03</v>
      </c>
    </row>
    <row r="26" spans="1:7">
      <c r="A26" s="86">
        <v>5</v>
      </c>
      <c r="B26" s="51" t="s">
        <v>265</v>
      </c>
      <c r="C26" s="1" t="s">
        <v>111</v>
      </c>
      <c r="D26" s="52">
        <v>5</v>
      </c>
      <c r="E26" s="51"/>
      <c r="F26" s="53">
        <v>150</v>
      </c>
      <c r="G26" s="260">
        <f t="shared" si="1"/>
        <v>0.75</v>
      </c>
    </row>
    <row r="27" spans="1:7">
      <c r="A27" s="86">
        <v>6</v>
      </c>
      <c r="B27" s="51" t="s">
        <v>213</v>
      </c>
      <c r="C27" s="1" t="s">
        <v>111</v>
      </c>
      <c r="D27" s="52">
        <v>80</v>
      </c>
      <c r="E27" s="52">
        <v>50</v>
      </c>
      <c r="F27" s="53">
        <v>370</v>
      </c>
      <c r="G27" s="260">
        <f t="shared" si="1"/>
        <v>29.6</v>
      </c>
    </row>
    <row r="28" spans="1:7">
      <c r="A28" s="86">
        <v>7</v>
      </c>
      <c r="B28" s="51" t="s">
        <v>266</v>
      </c>
      <c r="C28" s="1" t="s">
        <v>111</v>
      </c>
      <c r="D28" s="52">
        <v>20</v>
      </c>
      <c r="E28" s="52">
        <v>18</v>
      </c>
      <c r="F28" s="53">
        <v>300</v>
      </c>
      <c r="G28" s="260">
        <f t="shared" si="1"/>
        <v>6</v>
      </c>
    </row>
    <row r="29" spans="1:7">
      <c r="A29" s="86">
        <v>8</v>
      </c>
      <c r="B29" s="51" t="s">
        <v>238</v>
      </c>
      <c r="C29" s="1" t="s">
        <v>111</v>
      </c>
      <c r="D29" s="52">
        <v>20</v>
      </c>
      <c r="E29" s="52">
        <v>10</v>
      </c>
      <c r="F29" s="53">
        <v>850</v>
      </c>
      <c r="G29" s="260">
        <f t="shared" si="1"/>
        <v>17</v>
      </c>
    </row>
    <row r="30" spans="1:7">
      <c r="A30" s="86">
        <v>9</v>
      </c>
      <c r="B30" s="51" t="s">
        <v>137</v>
      </c>
      <c r="C30" s="1" t="s">
        <v>111</v>
      </c>
      <c r="D30" s="52">
        <v>1</v>
      </c>
      <c r="E30" s="54"/>
      <c r="F30" s="53">
        <v>200</v>
      </c>
      <c r="G30" s="260">
        <f t="shared" si="1"/>
        <v>0.2</v>
      </c>
    </row>
    <row r="31" spans="1:7">
      <c r="A31" s="86">
        <v>10</v>
      </c>
      <c r="B31" s="51" t="s">
        <v>267</v>
      </c>
      <c r="C31" s="1" t="s">
        <v>111</v>
      </c>
      <c r="D31" s="52">
        <v>10</v>
      </c>
      <c r="E31" s="54"/>
      <c r="F31" s="53">
        <v>1250</v>
      </c>
      <c r="G31" s="260">
        <f t="shared" si="1"/>
        <v>12.5</v>
      </c>
    </row>
    <row r="32" spans="1:7">
      <c r="A32" s="86">
        <v>11</v>
      </c>
      <c r="B32" s="51" t="s">
        <v>305</v>
      </c>
      <c r="C32" s="1" t="s">
        <v>111</v>
      </c>
      <c r="D32" s="52">
        <v>150</v>
      </c>
      <c r="E32" s="52">
        <v>150</v>
      </c>
      <c r="F32" s="53">
        <v>250</v>
      </c>
      <c r="G32" s="260">
        <f t="shared" si="1"/>
        <v>37.5</v>
      </c>
    </row>
    <row r="33" spans="1:7">
      <c r="A33" s="87"/>
      <c r="B33" s="58"/>
      <c r="D33">
        <f>SUM(D22:D32)</f>
        <v>327</v>
      </c>
      <c r="E33">
        <f>SUM(E22:E32)</f>
        <v>250</v>
      </c>
      <c r="G33">
        <f>SUM(G22:G32)</f>
        <v>105.98</v>
      </c>
    </row>
    <row r="34" spans="1:7" ht="18.600000000000001" customHeight="1">
      <c r="A34" s="87"/>
      <c r="B34" s="55"/>
      <c r="F34" s="79" t="s">
        <v>167</v>
      </c>
      <c r="G34" s="256">
        <f>G33*4</f>
        <v>423.92</v>
      </c>
    </row>
    <row r="35" spans="1:7" ht="24">
      <c r="A35" s="87"/>
      <c r="B35" s="55"/>
      <c r="F35" s="80" t="s">
        <v>14</v>
      </c>
      <c r="G35" s="80">
        <v>490</v>
      </c>
    </row>
    <row r="36" spans="1:7" ht="15.75">
      <c r="A36" s="87"/>
      <c r="B36" s="225" t="s">
        <v>313</v>
      </c>
      <c r="C36" s="41"/>
    </row>
    <row r="37" spans="1:7" ht="36">
      <c r="A37" s="4" t="s">
        <v>12</v>
      </c>
      <c r="B37" s="4" t="s">
        <v>0</v>
      </c>
      <c r="C37" s="4" t="s">
        <v>1</v>
      </c>
      <c r="D37" s="4" t="s">
        <v>2</v>
      </c>
      <c r="E37" s="4" t="s">
        <v>3</v>
      </c>
      <c r="F37" s="5" t="s">
        <v>39</v>
      </c>
      <c r="G37" s="30" t="s">
        <v>15</v>
      </c>
    </row>
    <row r="38" spans="1:7">
      <c r="A38" s="86">
        <v>1</v>
      </c>
      <c r="B38" s="62" t="s">
        <v>291</v>
      </c>
      <c r="C38" s="1" t="s">
        <v>111</v>
      </c>
      <c r="D38" s="62">
        <v>30</v>
      </c>
      <c r="E38" s="62">
        <v>25</v>
      </c>
      <c r="F38" s="59">
        <v>120</v>
      </c>
      <c r="G38" s="174">
        <f>D38*F38/1000</f>
        <v>3.6</v>
      </c>
    </row>
    <row r="39" spans="1:7">
      <c r="A39" s="86">
        <v>2</v>
      </c>
      <c r="B39" s="62" t="s">
        <v>292</v>
      </c>
      <c r="C39" s="1" t="s">
        <v>111</v>
      </c>
      <c r="D39" s="62">
        <v>60</v>
      </c>
      <c r="E39" s="62">
        <v>50</v>
      </c>
      <c r="F39" s="59">
        <v>800</v>
      </c>
      <c r="G39" s="174">
        <f t="shared" ref="G39:G49" si="2">D39*F39/1000</f>
        <v>48</v>
      </c>
    </row>
    <row r="40" spans="1:7">
      <c r="A40" s="86">
        <v>3</v>
      </c>
      <c r="B40" s="62" t="s">
        <v>254</v>
      </c>
      <c r="C40" s="1" t="s">
        <v>111</v>
      </c>
      <c r="D40" s="62">
        <v>20</v>
      </c>
      <c r="E40" s="62">
        <v>15</v>
      </c>
      <c r="F40" s="59">
        <v>40</v>
      </c>
      <c r="G40" s="174">
        <f t="shared" si="2"/>
        <v>0.8</v>
      </c>
    </row>
    <row r="41" spans="1:7">
      <c r="A41" s="86">
        <v>4</v>
      </c>
      <c r="B41" s="62" t="s">
        <v>293</v>
      </c>
      <c r="C41" s="1" t="s">
        <v>111</v>
      </c>
      <c r="D41" s="62">
        <v>30</v>
      </c>
      <c r="E41" s="62">
        <v>20</v>
      </c>
      <c r="F41" s="59">
        <v>120</v>
      </c>
      <c r="G41" s="174">
        <f t="shared" si="2"/>
        <v>3.6</v>
      </c>
    </row>
    <row r="42" spans="1:7">
      <c r="A42" s="86">
        <v>5</v>
      </c>
      <c r="B42" s="62" t="s">
        <v>294</v>
      </c>
      <c r="C42" s="1" t="s">
        <v>111</v>
      </c>
      <c r="D42" s="62">
        <v>40</v>
      </c>
      <c r="E42" s="62">
        <v>35</v>
      </c>
      <c r="F42" s="59">
        <v>330</v>
      </c>
      <c r="G42" s="174">
        <f t="shared" si="2"/>
        <v>13.2</v>
      </c>
    </row>
    <row r="43" spans="1:7">
      <c r="A43" s="86">
        <v>6</v>
      </c>
      <c r="B43" s="62" t="s">
        <v>295</v>
      </c>
      <c r="C43" s="1" t="s">
        <v>111</v>
      </c>
      <c r="D43" s="62">
        <v>40</v>
      </c>
      <c r="E43" s="62">
        <v>35</v>
      </c>
      <c r="F43" s="59">
        <v>300</v>
      </c>
      <c r="G43" s="174">
        <f t="shared" si="2"/>
        <v>12</v>
      </c>
    </row>
    <row r="44" spans="1:7">
      <c r="A44" s="86">
        <v>7</v>
      </c>
      <c r="B44" s="62" t="s">
        <v>314</v>
      </c>
      <c r="C44" s="1" t="s">
        <v>111</v>
      </c>
      <c r="D44" s="62">
        <v>2</v>
      </c>
      <c r="E44" s="62"/>
      <c r="F44" s="59">
        <v>250</v>
      </c>
      <c r="G44" s="174">
        <f t="shared" si="2"/>
        <v>0.5</v>
      </c>
    </row>
    <row r="45" spans="1:7">
      <c r="A45" s="86">
        <v>8</v>
      </c>
      <c r="B45" s="62" t="s">
        <v>117</v>
      </c>
      <c r="C45" s="1" t="s">
        <v>111</v>
      </c>
      <c r="D45" s="62">
        <v>1</v>
      </c>
      <c r="E45" s="62"/>
      <c r="F45" s="59"/>
      <c r="G45" s="174">
        <f t="shared" si="2"/>
        <v>0</v>
      </c>
    </row>
    <row r="46" spans="1:7">
      <c r="A46" s="86">
        <v>9</v>
      </c>
      <c r="B46" s="63" t="s">
        <v>296</v>
      </c>
      <c r="C46" s="1" t="s">
        <v>111</v>
      </c>
      <c r="D46" s="64">
        <v>100</v>
      </c>
      <c r="E46" s="64"/>
      <c r="F46" s="60">
        <v>30</v>
      </c>
      <c r="G46" s="174">
        <f t="shared" si="2"/>
        <v>3</v>
      </c>
    </row>
    <row r="47" spans="1:7">
      <c r="A47" s="86">
        <v>10</v>
      </c>
      <c r="B47" s="63" t="s">
        <v>279</v>
      </c>
      <c r="C47" s="1" t="s">
        <v>111</v>
      </c>
      <c r="D47" s="64">
        <v>80</v>
      </c>
      <c r="E47" s="64">
        <v>70</v>
      </c>
      <c r="F47" s="60">
        <v>30</v>
      </c>
      <c r="G47" s="174">
        <f t="shared" si="2"/>
        <v>2.4</v>
      </c>
    </row>
    <row r="48" spans="1:7">
      <c r="A48" s="86">
        <v>11</v>
      </c>
      <c r="B48" s="63" t="s">
        <v>263</v>
      </c>
      <c r="C48" s="1" t="s">
        <v>111</v>
      </c>
      <c r="D48" s="64">
        <v>40</v>
      </c>
      <c r="E48" s="64">
        <v>35</v>
      </c>
      <c r="F48" s="60">
        <v>40</v>
      </c>
      <c r="G48" s="174">
        <f t="shared" si="2"/>
        <v>1.6</v>
      </c>
    </row>
    <row r="49" spans="1:7">
      <c r="A49" s="86">
        <v>12</v>
      </c>
      <c r="B49" s="63" t="s">
        <v>319</v>
      </c>
      <c r="C49" s="1" t="s">
        <v>111</v>
      </c>
      <c r="D49" s="64">
        <v>40</v>
      </c>
      <c r="E49" s="64">
        <v>35</v>
      </c>
      <c r="F49" s="60">
        <v>30</v>
      </c>
      <c r="G49" s="174">
        <f t="shared" si="2"/>
        <v>1.2</v>
      </c>
    </row>
    <row r="50" spans="1:7">
      <c r="A50" s="86">
        <v>13</v>
      </c>
      <c r="B50" s="1" t="s">
        <v>320</v>
      </c>
      <c r="C50" s="1" t="s">
        <v>111</v>
      </c>
      <c r="D50" s="1">
        <v>40</v>
      </c>
      <c r="E50" s="1">
        <v>35</v>
      </c>
      <c r="F50" s="1">
        <v>400</v>
      </c>
      <c r="G50" s="174">
        <f>D50*F50/1000</f>
        <v>16</v>
      </c>
    </row>
    <row r="51" spans="1:7">
      <c r="D51">
        <f>SUM(D38:D50)</f>
        <v>523</v>
      </c>
      <c r="E51">
        <f t="shared" ref="E51:G51" si="3">SUM(E38:E50)</f>
        <v>355</v>
      </c>
      <c r="G51">
        <f t="shared" si="3"/>
        <v>105.9</v>
      </c>
    </row>
    <row r="52" spans="1:7" ht="14.45" customHeight="1">
      <c r="F52" s="79" t="s">
        <v>28</v>
      </c>
      <c r="G52" s="256">
        <f>G51*3</f>
        <v>317.70000000000005</v>
      </c>
    </row>
    <row r="53" spans="1:7" ht="24">
      <c r="F53" s="80" t="s">
        <v>14</v>
      </c>
      <c r="G53" s="80">
        <v>450</v>
      </c>
    </row>
    <row r="54" spans="1:7" ht="18.75">
      <c r="A54" s="85"/>
      <c r="B54" s="42" t="s">
        <v>269</v>
      </c>
      <c r="E54" s="34"/>
      <c r="F54" s="33"/>
      <c r="G54" s="35"/>
    </row>
    <row r="55" spans="1:7" ht="36">
      <c r="A55" s="4" t="s">
        <v>12</v>
      </c>
      <c r="B55" s="4" t="s">
        <v>0</v>
      </c>
      <c r="C55" s="4" t="s">
        <v>1</v>
      </c>
      <c r="D55" s="4" t="s">
        <v>2</v>
      </c>
      <c r="E55" s="4" t="s">
        <v>3</v>
      </c>
      <c r="F55" s="5" t="s">
        <v>39</v>
      </c>
      <c r="G55" s="30" t="s">
        <v>15</v>
      </c>
    </row>
    <row r="56" spans="1:7">
      <c r="A56" s="86">
        <v>1</v>
      </c>
      <c r="B56" s="51" t="s">
        <v>305</v>
      </c>
      <c r="C56" s="1" t="s">
        <v>111</v>
      </c>
      <c r="D56" s="52">
        <v>150</v>
      </c>
      <c r="E56" s="52">
        <v>130</v>
      </c>
      <c r="F56" s="65">
        <v>250</v>
      </c>
      <c r="G56" s="174">
        <f>D56*F56/1000</f>
        <v>37.5</v>
      </c>
    </row>
    <row r="57" spans="1:7">
      <c r="A57" s="86">
        <v>2</v>
      </c>
      <c r="B57" s="51" t="s">
        <v>263</v>
      </c>
      <c r="C57" s="1" t="s">
        <v>111</v>
      </c>
      <c r="D57" s="52">
        <v>20</v>
      </c>
      <c r="E57" s="52">
        <v>16</v>
      </c>
      <c r="F57" s="65">
        <v>30</v>
      </c>
      <c r="G57" s="174">
        <f t="shared" ref="G57:G65" si="4">D57*F57/1000</f>
        <v>0.6</v>
      </c>
    </row>
    <row r="58" spans="1:7">
      <c r="A58" s="86">
        <v>3</v>
      </c>
      <c r="B58" s="51" t="s">
        <v>264</v>
      </c>
      <c r="C58" s="1" t="s">
        <v>111</v>
      </c>
      <c r="D58" s="52">
        <v>20</v>
      </c>
      <c r="E58" s="52">
        <v>16</v>
      </c>
      <c r="F58" s="65">
        <v>30</v>
      </c>
      <c r="G58" s="174">
        <f t="shared" si="4"/>
        <v>0.6</v>
      </c>
    </row>
    <row r="59" spans="1:7">
      <c r="A59" s="86">
        <v>4</v>
      </c>
      <c r="B59" s="51" t="s">
        <v>302</v>
      </c>
      <c r="C59" s="1" t="s">
        <v>111</v>
      </c>
      <c r="D59" s="52">
        <v>15</v>
      </c>
      <c r="E59" s="52">
        <v>30</v>
      </c>
      <c r="F59" s="65">
        <v>70</v>
      </c>
      <c r="G59" s="174">
        <f t="shared" si="4"/>
        <v>1.05</v>
      </c>
    </row>
    <row r="60" spans="1:7">
      <c r="A60" s="86">
        <v>5</v>
      </c>
      <c r="B60" s="51" t="s">
        <v>270</v>
      </c>
      <c r="C60" s="1" t="s">
        <v>111</v>
      </c>
      <c r="D60" s="52">
        <v>5</v>
      </c>
      <c r="E60" s="52"/>
      <c r="F60" s="65">
        <v>492</v>
      </c>
      <c r="G60" s="174">
        <f t="shared" si="4"/>
        <v>2.46</v>
      </c>
    </row>
    <row r="61" spans="1:7">
      <c r="A61" s="86">
        <v>6</v>
      </c>
      <c r="B61" s="51" t="s">
        <v>117</v>
      </c>
      <c r="C61" s="1" t="s">
        <v>111</v>
      </c>
      <c r="D61" s="52">
        <v>1</v>
      </c>
      <c r="E61" s="52"/>
      <c r="F61" s="65">
        <v>30</v>
      </c>
      <c r="G61" s="174">
        <f t="shared" si="4"/>
        <v>0.03</v>
      </c>
    </row>
    <row r="62" spans="1:7">
      <c r="A62" s="86">
        <v>7</v>
      </c>
      <c r="B62" s="51" t="s">
        <v>271</v>
      </c>
      <c r="C62" s="1" t="s">
        <v>111</v>
      </c>
      <c r="D62" s="52">
        <v>1</v>
      </c>
      <c r="E62" s="52"/>
      <c r="F62" s="65">
        <v>240</v>
      </c>
      <c r="G62" s="174">
        <f t="shared" si="4"/>
        <v>0.24</v>
      </c>
    </row>
    <row r="63" spans="1:7">
      <c r="A63" s="86">
        <v>8</v>
      </c>
      <c r="B63" s="51" t="s">
        <v>214</v>
      </c>
      <c r="C63" s="1" t="s">
        <v>111</v>
      </c>
      <c r="D63" s="52">
        <v>10</v>
      </c>
      <c r="E63" s="52"/>
      <c r="F63" s="65">
        <v>150</v>
      </c>
      <c r="G63" s="174">
        <f t="shared" si="4"/>
        <v>1.5</v>
      </c>
    </row>
    <row r="64" spans="1:7">
      <c r="A64" s="86">
        <v>9</v>
      </c>
      <c r="B64" s="66" t="s">
        <v>137</v>
      </c>
      <c r="C64" s="1" t="s">
        <v>111</v>
      </c>
      <c r="D64" s="67">
        <v>1</v>
      </c>
      <c r="E64" s="52"/>
      <c r="F64" s="65">
        <v>250</v>
      </c>
      <c r="G64" s="174">
        <f t="shared" si="4"/>
        <v>0.25</v>
      </c>
    </row>
    <row r="65" spans="1:7">
      <c r="A65" s="86">
        <v>10</v>
      </c>
      <c r="B65" s="66" t="s">
        <v>315</v>
      </c>
      <c r="C65" s="1" t="s">
        <v>111</v>
      </c>
      <c r="D65" s="67">
        <v>80</v>
      </c>
      <c r="E65" s="52">
        <v>60</v>
      </c>
      <c r="F65" s="65">
        <v>300</v>
      </c>
      <c r="G65" s="174">
        <f t="shared" si="4"/>
        <v>24</v>
      </c>
    </row>
    <row r="66" spans="1:7">
      <c r="D66">
        <f>SUM(D56:D65)</f>
        <v>303</v>
      </c>
      <c r="E66">
        <f>SUM(E56:E65)</f>
        <v>252</v>
      </c>
      <c r="G66">
        <f>SUM(G56:G65)</f>
        <v>68.23</v>
      </c>
    </row>
    <row r="67" spans="1:7" ht="15" customHeight="1">
      <c r="F67" s="79" t="s">
        <v>18</v>
      </c>
      <c r="G67" s="256">
        <f>G66*5</f>
        <v>341.15000000000003</v>
      </c>
    </row>
    <row r="68" spans="1:7" ht="24">
      <c r="F68" s="80" t="s">
        <v>14</v>
      </c>
      <c r="G68" s="80">
        <v>350</v>
      </c>
    </row>
    <row r="69" spans="1:7" ht="15.75">
      <c r="A69" s="88"/>
      <c r="B69" s="41" t="s">
        <v>310</v>
      </c>
      <c r="C69" s="14"/>
      <c r="D69" s="14"/>
      <c r="E69" s="37"/>
      <c r="F69" s="37"/>
      <c r="G69" s="37"/>
    </row>
    <row r="70" spans="1:7" ht="36">
      <c r="A70" s="4" t="s">
        <v>12</v>
      </c>
      <c r="B70" s="4" t="s">
        <v>0</v>
      </c>
      <c r="C70" s="4" t="s">
        <v>1</v>
      </c>
      <c r="D70" s="4" t="s">
        <v>2</v>
      </c>
      <c r="E70" s="4" t="s">
        <v>3</v>
      </c>
      <c r="F70" s="5" t="s">
        <v>39</v>
      </c>
      <c r="G70" s="30" t="s">
        <v>15</v>
      </c>
    </row>
    <row r="71" spans="1:7">
      <c r="A71" s="86">
        <v>1</v>
      </c>
      <c r="B71" s="68" t="s">
        <v>292</v>
      </c>
      <c r="C71" s="1" t="s">
        <v>111</v>
      </c>
      <c r="D71" s="69">
        <v>120</v>
      </c>
      <c r="E71" s="69">
        <v>80</v>
      </c>
      <c r="F71" s="70">
        <v>750</v>
      </c>
      <c r="G71" s="73">
        <f>D71*F71/1000</f>
        <v>90</v>
      </c>
    </row>
    <row r="72" spans="1:7">
      <c r="A72" s="86">
        <v>2</v>
      </c>
      <c r="B72" s="68" t="s">
        <v>279</v>
      </c>
      <c r="C72" s="1" t="s">
        <v>111</v>
      </c>
      <c r="D72" s="69">
        <v>35</v>
      </c>
      <c r="E72" s="69">
        <v>30</v>
      </c>
      <c r="F72" s="70">
        <v>40</v>
      </c>
      <c r="G72" s="73">
        <f>D72*F72/1000</f>
        <v>1.4</v>
      </c>
    </row>
    <row r="73" spans="1:7">
      <c r="A73" s="86">
        <v>3</v>
      </c>
      <c r="B73" s="68" t="s">
        <v>263</v>
      </c>
      <c r="C73" s="1" t="s">
        <v>111</v>
      </c>
      <c r="D73" s="69">
        <v>20</v>
      </c>
      <c r="E73" s="69">
        <v>15</v>
      </c>
      <c r="F73" s="70">
        <v>30</v>
      </c>
      <c r="G73" s="73">
        <f t="shared" ref="G73:G78" si="5">D73*F73/1000</f>
        <v>0.6</v>
      </c>
    </row>
    <row r="74" spans="1:7">
      <c r="A74" s="86">
        <v>4</v>
      </c>
      <c r="B74" s="68" t="s">
        <v>264</v>
      </c>
      <c r="C74" s="1" t="s">
        <v>111</v>
      </c>
      <c r="D74" s="69">
        <v>15</v>
      </c>
      <c r="E74" s="69">
        <v>10</v>
      </c>
      <c r="F74" s="70">
        <v>30</v>
      </c>
      <c r="G74" s="73">
        <f>D74*F74/1000</f>
        <v>0.45</v>
      </c>
    </row>
    <row r="75" spans="1:7">
      <c r="A75" s="86">
        <v>5</v>
      </c>
      <c r="B75" s="68" t="s">
        <v>117</v>
      </c>
      <c r="C75" s="1" t="s">
        <v>111</v>
      </c>
      <c r="D75" s="69">
        <v>1</v>
      </c>
      <c r="E75" s="69"/>
      <c r="F75" s="70">
        <v>19</v>
      </c>
      <c r="G75" s="73">
        <f t="shared" si="5"/>
        <v>1.9E-2</v>
      </c>
    </row>
    <row r="76" spans="1:7">
      <c r="A76" s="86">
        <v>6</v>
      </c>
      <c r="B76" s="68" t="s">
        <v>280</v>
      </c>
      <c r="C76" s="1" t="s">
        <v>111</v>
      </c>
      <c r="D76" s="69">
        <v>1</v>
      </c>
      <c r="E76" s="69"/>
      <c r="F76" s="70">
        <v>250</v>
      </c>
      <c r="G76" s="73">
        <f t="shared" si="5"/>
        <v>0.25</v>
      </c>
    </row>
    <row r="77" spans="1:7">
      <c r="A77" s="86">
        <v>7</v>
      </c>
      <c r="B77" s="66" t="s">
        <v>287</v>
      </c>
      <c r="C77" s="1" t="s">
        <v>111</v>
      </c>
      <c r="D77" s="67">
        <v>200</v>
      </c>
      <c r="E77" s="67">
        <v>185</v>
      </c>
      <c r="F77" s="70"/>
      <c r="G77" s="73">
        <f t="shared" si="5"/>
        <v>0</v>
      </c>
    </row>
    <row r="78" spans="1:7">
      <c r="A78" s="86">
        <v>8</v>
      </c>
      <c r="B78" s="66" t="s">
        <v>281</v>
      </c>
      <c r="C78" s="1" t="s">
        <v>111</v>
      </c>
      <c r="D78" s="67">
        <v>30</v>
      </c>
      <c r="E78" s="67">
        <v>20</v>
      </c>
      <c r="F78" s="70">
        <v>250</v>
      </c>
      <c r="G78" s="73">
        <f t="shared" si="5"/>
        <v>7.5</v>
      </c>
    </row>
    <row r="79" spans="1:7">
      <c r="A79" s="87"/>
      <c r="B79" s="58"/>
      <c r="D79">
        <f>SUM(D71:D78)</f>
        <v>422</v>
      </c>
      <c r="E79">
        <f>SUM(E71:E78)</f>
        <v>340</v>
      </c>
      <c r="G79" s="74">
        <f>SUM(G71:G78)</f>
        <v>100.21900000000001</v>
      </c>
    </row>
    <row r="80" spans="1:7" ht="18" customHeight="1">
      <c r="A80" s="87"/>
      <c r="B80" s="55"/>
      <c r="F80" s="79" t="s">
        <v>28</v>
      </c>
      <c r="G80" s="256">
        <f>G79*3.5</f>
        <v>350.76650000000001</v>
      </c>
    </row>
    <row r="81" spans="1:7" ht="24">
      <c r="A81" s="87"/>
      <c r="B81" s="55"/>
      <c r="F81" s="80" t="s">
        <v>14</v>
      </c>
      <c r="G81" s="80">
        <v>350</v>
      </c>
    </row>
    <row r="82" spans="1:7" ht="21">
      <c r="A82" s="85"/>
      <c r="B82" s="71" t="s">
        <v>278</v>
      </c>
      <c r="D82" s="36"/>
      <c r="E82" s="34"/>
      <c r="F82" s="33"/>
      <c r="G82" s="35"/>
    </row>
    <row r="83" spans="1:7" ht="38.25">
      <c r="A83" s="4" t="s">
        <v>12</v>
      </c>
      <c r="B83" s="4" t="s">
        <v>0</v>
      </c>
      <c r="C83" s="4" t="s">
        <v>1</v>
      </c>
      <c r="D83" s="4" t="s">
        <v>2</v>
      </c>
      <c r="E83" s="4" t="s">
        <v>3</v>
      </c>
      <c r="F83" s="76" t="s">
        <v>39</v>
      </c>
      <c r="G83" s="77" t="s">
        <v>15</v>
      </c>
    </row>
    <row r="84" spans="1:7">
      <c r="A84" s="86">
        <v>1</v>
      </c>
      <c r="B84" s="68" t="s">
        <v>771</v>
      </c>
      <c r="C84" s="1" t="s">
        <v>111</v>
      </c>
      <c r="D84" s="69">
        <v>120</v>
      </c>
      <c r="E84" s="69">
        <v>80</v>
      </c>
      <c r="F84" s="70">
        <v>750</v>
      </c>
      <c r="G84" s="18">
        <f>D84*F84/1000</f>
        <v>90</v>
      </c>
    </row>
    <row r="85" spans="1:7">
      <c r="A85" s="86">
        <v>2</v>
      </c>
      <c r="B85" s="68" t="s">
        <v>279</v>
      </c>
      <c r="C85" s="1" t="s">
        <v>111</v>
      </c>
      <c r="D85" s="69">
        <v>40</v>
      </c>
      <c r="E85" s="69">
        <v>35</v>
      </c>
      <c r="F85" s="70">
        <v>40</v>
      </c>
      <c r="G85" s="18">
        <f t="shared" ref="G85:G90" si="6">D85*F85/1000</f>
        <v>1.6</v>
      </c>
    </row>
    <row r="86" spans="1:7">
      <c r="A86" s="86">
        <v>3</v>
      </c>
      <c r="B86" s="68" t="s">
        <v>263</v>
      </c>
      <c r="C86" s="1" t="s">
        <v>111</v>
      </c>
      <c r="D86" s="69">
        <v>20</v>
      </c>
      <c r="E86" s="69">
        <v>15</v>
      </c>
      <c r="F86" s="70">
        <v>30</v>
      </c>
      <c r="G86" s="18">
        <f t="shared" si="6"/>
        <v>0.6</v>
      </c>
    </row>
    <row r="87" spans="1:7">
      <c r="A87" s="86">
        <v>4</v>
      </c>
      <c r="B87" s="68" t="s">
        <v>264</v>
      </c>
      <c r="C87" s="1" t="s">
        <v>111</v>
      </c>
      <c r="D87" s="69">
        <v>15</v>
      </c>
      <c r="E87" s="69">
        <v>10</v>
      </c>
      <c r="F87" s="70">
        <v>30</v>
      </c>
      <c r="G87" s="18">
        <f t="shared" si="6"/>
        <v>0.45</v>
      </c>
    </row>
    <row r="88" spans="1:7">
      <c r="A88" s="86">
        <v>5</v>
      </c>
      <c r="B88" s="68" t="s">
        <v>117</v>
      </c>
      <c r="C88" s="1" t="s">
        <v>111</v>
      </c>
      <c r="D88" s="69">
        <v>2</v>
      </c>
      <c r="E88" s="69"/>
      <c r="F88" s="70">
        <v>19</v>
      </c>
      <c r="G88" s="18">
        <f>F88</f>
        <v>19</v>
      </c>
    </row>
    <row r="89" spans="1:7">
      <c r="A89" s="86">
        <v>6</v>
      </c>
      <c r="B89" s="68" t="s">
        <v>280</v>
      </c>
      <c r="C89" s="1" t="s">
        <v>111</v>
      </c>
      <c r="D89" s="69">
        <v>2</v>
      </c>
      <c r="E89" s="69"/>
      <c r="F89" s="70">
        <v>250</v>
      </c>
      <c r="G89" s="18">
        <f t="shared" si="6"/>
        <v>0.5</v>
      </c>
    </row>
    <row r="90" spans="1:7">
      <c r="A90" s="86">
        <v>7</v>
      </c>
      <c r="B90" s="66" t="s">
        <v>281</v>
      </c>
      <c r="C90" s="1" t="s">
        <v>111</v>
      </c>
      <c r="D90" s="67">
        <v>20</v>
      </c>
      <c r="E90" s="67">
        <v>15</v>
      </c>
      <c r="F90" s="70">
        <v>250</v>
      </c>
      <c r="G90" s="18">
        <f t="shared" si="6"/>
        <v>5</v>
      </c>
    </row>
    <row r="91" spans="1:7">
      <c r="A91" s="86">
        <v>8</v>
      </c>
      <c r="B91" s="66" t="s">
        <v>287</v>
      </c>
      <c r="C91" s="1" t="s">
        <v>111</v>
      </c>
      <c r="D91" s="18">
        <v>200</v>
      </c>
      <c r="E91" s="18">
        <v>200</v>
      </c>
      <c r="F91" s="75"/>
      <c r="G91" s="1"/>
    </row>
    <row r="92" spans="1:7">
      <c r="D92">
        <f>SUM(D84:D91)</f>
        <v>419</v>
      </c>
      <c r="E92">
        <f>SUM(E84:E91)</f>
        <v>355</v>
      </c>
      <c r="G92">
        <f>SUM(G84:G91)</f>
        <v>117.14999999999999</v>
      </c>
    </row>
    <row r="93" spans="1:7" ht="16.149999999999999" customHeight="1">
      <c r="F93" s="79" t="s">
        <v>545</v>
      </c>
      <c r="G93" s="256">
        <f>G92*3.5</f>
        <v>410.02499999999998</v>
      </c>
    </row>
    <row r="94" spans="1:7" ht="24">
      <c r="F94" s="80" t="s">
        <v>14</v>
      </c>
      <c r="G94" s="80">
        <v>440</v>
      </c>
    </row>
    <row r="95" spans="1:7" ht="12" customHeight="1">
      <c r="B95" s="41" t="s">
        <v>309</v>
      </c>
      <c r="D95" s="34"/>
      <c r="F95" s="36"/>
      <c r="G95" s="32"/>
    </row>
    <row r="96" spans="1:7" ht="38.25">
      <c r="A96" s="4" t="s">
        <v>12</v>
      </c>
      <c r="B96" s="4" t="s">
        <v>0</v>
      </c>
      <c r="C96" s="4" t="s">
        <v>1</v>
      </c>
      <c r="D96" s="4" t="s">
        <v>2</v>
      </c>
      <c r="E96" s="4" t="s">
        <v>3</v>
      </c>
      <c r="F96" s="76" t="s">
        <v>39</v>
      </c>
      <c r="G96" s="77" t="s">
        <v>15</v>
      </c>
    </row>
    <row r="97" spans="1:7">
      <c r="A97" s="86">
        <v>1</v>
      </c>
      <c r="B97" s="68" t="s">
        <v>282</v>
      </c>
      <c r="C97" s="2" t="s">
        <v>111</v>
      </c>
      <c r="D97" s="67">
        <v>120</v>
      </c>
      <c r="E97" s="67">
        <v>100</v>
      </c>
      <c r="F97" s="70">
        <v>700</v>
      </c>
      <c r="G97" s="18">
        <f>D97*F97/1000</f>
        <v>84</v>
      </c>
    </row>
    <row r="98" spans="1:7">
      <c r="A98" s="86">
        <v>2</v>
      </c>
      <c r="B98" s="68" t="s">
        <v>283</v>
      </c>
      <c r="C98" s="2" t="s">
        <v>111</v>
      </c>
      <c r="D98" s="67">
        <v>30</v>
      </c>
      <c r="E98" s="67">
        <v>30</v>
      </c>
      <c r="F98" s="70">
        <v>360</v>
      </c>
      <c r="G98" s="18">
        <f t="shared" ref="G98:G101" si="7">D98*F98/1000</f>
        <v>10.8</v>
      </c>
    </row>
    <row r="99" spans="1:7">
      <c r="A99" s="86">
        <v>3</v>
      </c>
      <c r="B99" s="68" t="s">
        <v>280</v>
      </c>
      <c r="C99" s="2" t="s">
        <v>111</v>
      </c>
      <c r="D99" s="67">
        <v>2</v>
      </c>
      <c r="E99" s="67">
        <v>2</v>
      </c>
      <c r="F99" s="70">
        <v>250</v>
      </c>
      <c r="G99" s="18">
        <f t="shared" si="7"/>
        <v>0.5</v>
      </c>
    </row>
    <row r="100" spans="1:7">
      <c r="A100" s="86">
        <v>4</v>
      </c>
      <c r="B100" s="68" t="s">
        <v>284</v>
      </c>
      <c r="C100" s="2" t="s">
        <v>111</v>
      </c>
      <c r="D100" s="67">
        <v>200</v>
      </c>
      <c r="E100" s="67">
        <v>150</v>
      </c>
      <c r="F100" s="70">
        <v>88</v>
      </c>
      <c r="G100" s="18">
        <f t="shared" si="7"/>
        <v>17.600000000000001</v>
      </c>
    </row>
    <row r="101" spans="1:7">
      <c r="A101" s="86">
        <v>5</v>
      </c>
      <c r="B101" s="68" t="s">
        <v>285</v>
      </c>
      <c r="C101" s="2" t="s">
        <v>111</v>
      </c>
      <c r="D101" s="67">
        <v>20</v>
      </c>
      <c r="E101" s="67">
        <v>20</v>
      </c>
      <c r="F101" s="70">
        <v>480</v>
      </c>
      <c r="G101" s="18">
        <f t="shared" si="7"/>
        <v>9.6</v>
      </c>
    </row>
    <row r="102" spans="1:7">
      <c r="D102">
        <f>SUM(D97:D101)</f>
        <v>372</v>
      </c>
      <c r="E102">
        <f>SUM(E97:E101)</f>
        <v>302</v>
      </c>
      <c r="G102">
        <f>SUM(G97:G101)</f>
        <v>122.5</v>
      </c>
    </row>
    <row r="103" spans="1:7" ht="24">
      <c r="F103" s="79" t="s">
        <v>545</v>
      </c>
      <c r="G103" s="256">
        <f>G102*3.5</f>
        <v>428.75</v>
      </c>
    </row>
    <row r="104" spans="1:7" ht="24">
      <c r="F104" s="80" t="s">
        <v>14</v>
      </c>
      <c r="G104" s="80">
        <v>430</v>
      </c>
    </row>
    <row r="105" spans="1:7" ht="21">
      <c r="A105" s="85"/>
      <c r="B105" s="71" t="s">
        <v>272</v>
      </c>
      <c r="D105" s="36"/>
      <c r="E105" s="34"/>
      <c r="F105" s="33"/>
      <c r="G105" s="35"/>
    </row>
    <row r="106" spans="1:7" ht="38.25">
      <c r="A106" s="4" t="s">
        <v>12</v>
      </c>
      <c r="B106" s="4" t="s">
        <v>0</v>
      </c>
      <c r="C106" s="4" t="s">
        <v>1</v>
      </c>
      <c r="D106" s="4" t="s">
        <v>2</v>
      </c>
      <c r="E106" s="4" t="s">
        <v>3</v>
      </c>
      <c r="F106" s="76" t="s">
        <v>39</v>
      </c>
      <c r="G106" s="77" t="s">
        <v>15</v>
      </c>
    </row>
    <row r="107" spans="1:7">
      <c r="A107" s="86">
        <v>1</v>
      </c>
      <c r="B107" s="51" t="s">
        <v>273</v>
      </c>
      <c r="C107" s="1" t="s">
        <v>111</v>
      </c>
      <c r="D107" s="52">
        <v>60</v>
      </c>
      <c r="E107" s="67">
        <v>60</v>
      </c>
      <c r="F107" s="53">
        <v>110</v>
      </c>
      <c r="G107" s="174">
        <f>D107*F107/1000</f>
        <v>6.6</v>
      </c>
    </row>
    <row r="108" spans="1:7">
      <c r="A108" s="86">
        <v>2</v>
      </c>
      <c r="B108" s="51" t="s">
        <v>263</v>
      </c>
      <c r="C108" s="1" t="s">
        <v>111</v>
      </c>
      <c r="D108" s="52">
        <v>40</v>
      </c>
      <c r="E108" s="67">
        <v>35</v>
      </c>
      <c r="F108" s="53">
        <v>30</v>
      </c>
      <c r="G108" s="174">
        <f t="shared" ref="G108:G116" si="8">D108*F108/1000</f>
        <v>1.2</v>
      </c>
    </row>
    <row r="109" spans="1:7">
      <c r="A109" s="86">
        <v>3</v>
      </c>
      <c r="B109" s="51" t="s">
        <v>264</v>
      </c>
      <c r="C109" s="1" t="s">
        <v>111</v>
      </c>
      <c r="D109" s="52">
        <v>30</v>
      </c>
      <c r="E109" s="67">
        <v>27</v>
      </c>
      <c r="F109" s="53">
        <v>30</v>
      </c>
      <c r="G109" s="174">
        <f t="shared" si="8"/>
        <v>0.9</v>
      </c>
    </row>
    <row r="110" spans="1:7">
      <c r="A110" s="86">
        <v>4</v>
      </c>
      <c r="B110" s="51" t="s">
        <v>274</v>
      </c>
      <c r="C110" s="1" t="s">
        <v>111</v>
      </c>
      <c r="D110" s="52">
        <v>25</v>
      </c>
      <c r="E110" s="67">
        <v>20</v>
      </c>
      <c r="F110" s="53">
        <v>380</v>
      </c>
      <c r="G110" s="174">
        <f t="shared" si="8"/>
        <v>9.5</v>
      </c>
    </row>
    <row r="111" spans="1:7">
      <c r="A111" s="86">
        <v>5</v>
      </c>
      <c r="B111" s="51" t="s">
        <v>144</v>
      </c>
      <c r="C111" s="1" t="s">
        <v>111</v>
      </c>
      <c r="D111" s="52">
        <v>10</v>
      </c>
      <c r="E111" s="67"/>
      <c r="F111" s="53">
        <v>150</v>
      </c>
      <c r="G111" s="174">
        <f t="shared" si="8"/>
        <v>1.5</v>
      </c>
    </row>
    <row r="112" spans="1:7">
      <c r="A112" s="86">
        <v>6</v>
      </c>
      <c r="B112" s="51" t="s">
        <v>275</v>
      </c>
      <c r="C112" s="1" t="s">
        <v>111</v>
      </c>
      <c r="D112" s="52">
        <v>1</v>
      </c>
      <c r="E112" s="67"/>
      <c r="F112" s="53">
        <v>1000</v>
      </c>
      <c r="G112" s="174">
        <f t="shared" si="8"/>
        <v>1</v>
      </c>
    </row>
    <row r="113" spans="1:7">
      <c r="A113" s="86">
        <v>7</v>
      </c>
      <c r="B113" s="51" t="s">
        <v>279</v>
      </c>
      <c r="C113" s="1" t="s">
        <v>111</v>
      </c>
      <c r="D113" s="52">
        <v>50</v>
      </c>
      <c r="E113" s="67">
        <v>42</v>
      </c>
      <c r="F113" s="53">
        <v>125</v>
      </c>
      <c r="G113" s="174">
        <f t="shared" si="8"/>
        <v>6.25</v>
      </c>
    </row>
    <row r="114" spans="1:7">
      <c r="A114" s="86">
        <v>8</v>
      </c>
      <c r="B114" s="51" t="s">
        <v>214</v>
      </c>
      <c r="C114" s="1" t="s">
        <v>111</v>
      </c>
      <c r="D114" s="52">
        <v>5</v>
      </c>
      <c r="E114" s="67"/>
      <c r="F114" s="53">
        <v>180</v>
      </c>
      <c r="G114" s="174">
        <f t="shared" si="8"/>
        <v>0.9</v>
      </c>
    </row>
    <row r="115" spans="1:7">
      <c r="A115" s="86">
        <v>9</v>
      </c>
      <c r="B115" s="51" t="s">
        <v>117</v>
      </c>
      <c r="C115" s="1" t="s">
        <v>111</v>
      </c>
      <c r="D115" s="52">
        <v>1</v>
      </c>
      <c r="E115" s="67"/>
      <c r="F115" s="53">
        <v>30</v>
      </c>
      <c r="G115" s="174">
        <f t="shared" si="8"/>
        <v>0.03</v>
      </c>
    </row>
    <row r="116" spans="1:7">
      <c r="A116" s="86">
        <v>10</v>
      </c>
      <c r="B116" s="51" t="s">
        <v>137</v>
      </c>
      <c r="C116" s="1" t="s">
        <v>111</v>
      </c>
      <c r="D116" s="52">
        <v>1</v>
      </c>
      <c r="E116" s="67"/>
      <c r="F116" s="53">
        <v>250</v>
      </c>
      <c r="G116" s="174">
        <f t="shared" si="8"/>
        <v>0.25</v>
      </c>
    </row>
    <row r="117" spans="1:7">
      <c r="A117" s="86">
        <v>11</v>
      </c>
      <c r="B117" s="51" t="s">
        <v>277</v>
      </c>
      <c r="C117" s="1" t="s">
        <v>111</v>
      </c>
      <c r="D117" s="52">
        <v>5</v>
      </c>
      <c r="E117" s="67">
        <v>5</v>
      </c>
      <c r="F117" s="53">
        <v>117</v>
      </c>
      <c r="G117" s="174">
        <f>F117*D117/1000</f>
        <v>0.58499999999999996</v>
      </c>
    </row>
    <row r="118" spans="1:7">
      <c r="A118" s="86">
        <v>12</v>
      </c>
      <c r="B118" s="51" t="s">
        <v>287</v>
      </c>
      <c r="C118" s="1" t="s">
        <v>111</v>
      </c>
      <c r="D118" s="52">
        <v>200</v>
      </c>
      <c r="E118" s="67">
        <v>200</v>
      </c>
      <c r="F118" s="53"/>
      <c r="G118" s="174"/>
    </row>
    <row r="119" spans="1:7">
      <c r="D119">
        <f>SUM(D107:D118)</f>
        <v>428</v>
      </c>
      <c r="E119">
        <f>SUM(E107:E118)</f>
        <v>389</v>
      </c>
      <c r="G119" s="91">
        <f>SUM(G107:G118)</f>
        <v>28.715</v>
      </c>
    </row>
    <row r="120" spans="1:7" ht="14.45" customHeight="1">
      <c r="F120" s="79" t="s">
        <v>538</v>
      </c>
      <c r="G120" s="256">
        <f>G119*14</f>
        <v>402.01</v>
      </c>
    </row>
    <row r="121" spans="1:7" ht="24">
      <c r="F121" s="80" t="s">
        <v>14</v>
      </c>
      <c r="G121" s="80">
        <v>330</v>
      </c>
    </row>
    <row r="122" spans="1:7">
      <c r="B122" s="14" t="s">
        <v>316</v>
      </c>
      <c r="D122" s="39"/>
      <c r="E122" s="39"/>
      <c r="F122" s="40"/>
      <c r="G122" s="39"/>
    </row>
    <row r="123" spans="1:7" ht="38.25">
      <c r="A123" s="4" t="s">
        <v>12</v>
      </c>
      <c r="B123" s="4" t="s">
        <v>0</v>
      </c>
      <c r="C123" s="4" t="s">
        <v>1</v>
      </c>
      <c r="D123" s="4" t="s">
        <v>2</v>
      </c>
      <c r="E123" s="4" t="s">
        <v>3</v>
      </c>
      <c r="F123" s="76" t="s">
        <v>39</v>
      </c>
      <c r="G123" s="77" t="s">
        <v>15</v>
      </c>
    </row>
    <row r="124" spans="1:7">
      <c r="A124" s="86">
        <v>1</v>
      </c>
      <c r="B124" s="62" t="s">
        <v>117</v>
      </c>
      <c r="C124" s="1" t="s">
        <v>111</v>
      </c>
      <c r="D124" s="62">
        <v>1</v>
      </c>
      <c r="E124" s="62"/>
      <c r="F124" s="70">
        <v>30</v>
      </c>
      <c r="G124" s="174">
        <f>D124*F124/1000</f>
        <v>0.03</v>
      </c>
    </row>
    <row r="125" spans="1:7">
      <c r="A125" s="86">
        <v>2</v>
      </c>
      <c r="B125" s="62" t="s">
        <v>264</v>
      </c>
      <c r="C125" s="1" t="s">
        <v>111</v>
      </c>
      <c r="D125" s="62">
        <v>35</v>
      </c>
      <c r="E125" s="62">
        <v>30</v>
      </c>
      <c r="F125" s="70">
        <v>30</v>
      </c>
      <c r="G125" s="174">
        <f t="shared" ref="G125:G132" si="9">D125*F125/1000</f>
        <v>1.05</v>
      </c>
    </row>
    <row r="126" spans="1:7">
      <c r="A126" s="86">
        <v>3</v>
      </c>
      <c r="B126" s="62" t="s">
        <v>281</v>
      </c>
      <c r="C126" s="1" t="s">
        <v>111</v>
      </c>
      <c r="D126" s="62">
        <v>70</v>
      </c>
      <c r="E126" s="62">
        <v>60</v>
      </c>
      <c r="F126" s="70">
        <v>103</v>
      </c>
      <c r="G126" s="174">
        <f t="shared" si="9"/>
        <v>7.21</v>
      </c>
    </row>
    <row r="127" spans="1:7">
      <c r="A127" s="86">
        <v>4</v>
      </c>
      <c r="B127" s="62" t="s">
        <v>286</v>
      </c>
      <c r="C127" s="1" t="s">
        <v>111</v>
      </c>
      <c r="D127" s="62">
        <v>70</v>
      </c>
      <c r="E127" s="62">
        <v>60</v>
      </c>
      <c r="F127" s="70">
        <v>100</v>
      </c>
      <c r="G127" s="174">
        <f t="shared" si="9"/>
        <v>7</v>
      </c>
    </row>
    <row r="128" spans="1:7">
      <c r="A128" s="86">
        <v>5</v>
      </c>
      <c r="B128" s="62" t="s">
        <v>279</v>
      </c>
      <c r="C128" s="1" t="s">
        <v>111</v>
      </c>
      <c r="D128" s="62">
        <v>60</v>
      </c>
      <c r="E128" s="62">
        <v>50</v>
      </c>
      <c r="F128" s="70">
        <v>40</v>
      </c>
      <c r="G128" s="174">
        <f t="shared" si="9"/>
        <v>2.4</v>
      </c>
    </row>
    <row r="129" spans="1:7">
      <c r="A129" s="86">
        <v>6</v>
      </c>
      <c r="B129" s="62" t="s">
        <v>274</v>
      </c>
      <c r="C129" s="1" t="s">
        <v>111</v>
      </c>
      <c r="D129" s="62">
        <v>20</v>
      </c>
      <c r="E129" s="62">
        <v>20</v>
      </c>
      <c r="F129" s="70">
        <v>450</v>
      </c>
      <c r="G129" s="174">
        <f t="shared" si="9"/>
        <v>9</v>
      </c>
    </row>
    <row r="130" spans="1:7">
      <c r="A130" s="86">
        <v>7</v>
      </c>
      <c r="B130" s="62" t="s">
        <v>137</v>
      </c>
      <c r="C130" s="1" t="s">
        <v>111</v>
      </c>
      <c r="D130" s="62">
        <v>1</v>
      </c>
      <c r="E130" s="62"/>
      <c r="F130" s="70">
        <v>240</v>
      </c>
      <c r="G130" s="174">
        <f t="shared" si="9"/>
        <v>0.24</v>
      </c>
    </row>
    <row r="131" spans="1:7">
      <c r="A131" s="86">
        <v>8</v>
      </c>
      <c r="B131" s="62" t="s">
        <v>317</v>
      </c>
      <c r="C131" s="1" t="s">
        <v>111</v>
      </c>
      <c r="D131" s="62">
        <v>10</v>
      </c>
      <c r="E131" s="62"/>
      <c r="F131" s="70">
        <v>117</v>
      </c>
      <c r="G131" s="174">
        <f t="shared" si="9"/>
        <v>1.17</v>
      </c>
    </row>
    <row r="132" spans="1:7">
      <c r="A132" s="86">
        <v>9</v>
      </c>
      <c r="B132" s="62" t="s">
        <v>287</v>
      </c>
      <c r="C132" s="1" t="s">
        <v>111</v>
      </c>
      <c r="D132" s="62">
        <v>50</v>
      </c>
      <c r="E132" s="62">
        <v>30</v>
      </c>
      <c r="F132" s="70"/>
      <c r="G132" s="174">
        <f t="shared" si="9"/>
        <v>0</v>
      </c>
    </row>
    <row r="133" spans="1:7">
      <c r="A133" s="85"/>
      <c r="B133" s="32"/>
      <c r="C133" s="32"/>
      <c r="D133">
        <f>SUM(D124:D132)</f>
        <v>317</v>
      </c>
      <c r="E133">
        <f>SUM(E124:E132)</f>
        <v>250</v>
      </c>
      <c r="G133">
        <f>SUM(G124:G132)</f>
        <v>28.099999999999994</v>
      </c>
    </row>
    <row r="134" spans="1:7" ht="18" customHeight="1">
      <c r="A134" s="85"/>
      <c r="B134" s="78"/>
      <c r="F134" s="79" t="s">
        <v>537</v>
      </c>
      <c r="G134" s="256">
        <f>G133*11</f>
        <v>309.09999999999991</v>
      </c>
    </row>
    <row r="135" spans="1:7" ht="24">
      <c r="A135" s="85"/>
      <c r="B135" s="38"/>
      <c r="F135" s="80" t="s">
        <v>14</v>
      </c>
      <c r="G135" s="80">
        <v>310</v>
      </c>
    </row>
    <row r="136" spans="1:7" ht="15.75">
      <c r="A136" s="89"/>
      <c r="B136" s="81" t="s">
        <v>311</v>
      </c>
      <c r="C136" s="14"/>
      <c r="D136" s="14"/>
    </row>
    <row r="137" spans="1:7" ht="60">
      <c r="A137" s="4" t="s">
        <v>12</v>
      </c>
      <c r="B137" s="4" t="s">
        <v>0</v>
      </c>
      <c r="C137" s="4" t="s">
        <v>1</v>
      </c>
      <c r="D137" s="4" t="s">
        <v>2</v>
      </c>
      <c r="E137" s="4" t="s">
        <v>3</v>
      </c>
      <c r="F137" s="6" t="s">
        <v>39</v>
      </c>
      <c r="G137" s="15" t="s">
        <v>15</v>
      </c>
    </row>
    <row r="138" spans="1:7">
      <c r="A138" s="90">
        <v>1</v>
      </c>
      <c r="B138" s="83" t="s">
        <v>288</v>
      </c>
      <c r="C138" s="1" t="s">
        <v>111</v>
      </c>
      <c r="D138" s="83">
        <v>250</v>
      </c>
      <c r="E138" s="83">
        <v>130</v>
      </c>
      <c r="F138" s="82">
        <v>41</v>
      </c>
      <c r="G138" s="261">
        <f>D138*F138/1000</f>
        <v>10.25</v>
      </c>
    </row>
    <row r="139" spans="1:7">
      <c r="A139" s="90">
        <v>2</v>
      </c>
      <c r="B139" s="83" t="s">
        <v>117</v>
      </c>
      <c r="C139" s="1" t="s">
        <v>111</v>
      </c>
      <c r="D139" s="83">
        <v>2</v>
      </c>
      <c r="E139" s="83"/>
      <c r="F139" s="82">
        <v>20</v>
      </c>
      <c r="G139" s="261">
        <f t="shared" ref="G139:G146" si="10">D139*F139/1000</f>
        <v>0.04</v>
      </c>
    </row>
    <row r="140" spans="1:7">
      <c r="A140" s="90">
        <v>3</v>
      </c>
      <c r="B140" s="83" t="s">
        <v>318</v>
      </c>
      <c r="C140" s="1" t="s">
        <v>111</v>
      </c>
      <c r="D140" s="83">
        <v>20</v>
      </c>
      <c r="E140" s="83">
        <v>20</v>
      </c>
      <c r="F140" s="82">
        <v>420</v>
      </c>
      <c r="G140" s="261">
        <f t="shared" si="10"/>
        <v>8.4</v>
      </c>
    </row>
    <row r="141" spans="1:7">
      <c r="A141" s="90">
        <v>4</v>
      </c>
      <c r="B141" s="83" t="s">
        <v>289</v>
      </c>
      <c r="C141" s="1" t="s">
        <v>111</v>
      </c>
      <c r="D141" s="83">
        <v>5</v>
      </c>
      <c r="E141" s="83">
        <v>5</v>
      </c>
      <c r="F141" s="82">
        <v>185</v>
      </c>
      <c r="G141" s="261">
        <f t="shared" si="10"/>
        <v>0.92500000000000004</v>
      </c>
    </row>
    <row r="142" spans="1:7">
      <c r="A142" s="90">
        <v>5</v>
      </c>
      <c r="B142" s="83" t="s">
        <v>263</v>
      </c>
      <c r="C142" s="1" t="s">
        <v>111</v>
      </c>
      <c r="D142" s="83">
        <v>45</v>
      </c>
      <c r="E142" s="83">
        <v>40</v>
      </c>
      <c r="F142" s="82">
        <v>32</v>
      </c>
      <c r="G142" s="261">
        <f t="shared" si="10"/>
        <v>1.44</v>
      </c>
    </row>
    <row r="143" spans="1:7">
      <c r="A143" s="90">
        <v>6</v>
      </c>
      <c r="B143" s="83" t="s">
        <v>290</v>
      </c>
      <c r="C143" s="1" t="s">
        <v>111</v>
      </c>
      <c r="D143" s="83">
        <v>2</v>
      </c>
      <c r="E143" s="83">
        <v>2</v>
      </c>
      <c r="F143" s="82">
        <v>1500</v>
      </c>
      <c r="G143" s="261">
        <f t="shared" si="10"/>
        <v>3</v>
      </c>
    </row>
    <row r="144" spans="1:7">
      <c r="A144" s="90">
        <v>7</v>
      </c>
      <c r="B144" s="83" t="s">
        <v>276</v>
      </c>
      <c r="C144" s="1" t="s">
        <v>111</v>
      </c>
      <c r="D144" s="83">
        <v>2</v>
      </c>
      <c r="E144" s="83">
        <v>2</v>
      </c>
      <c r="F144" s="82">
        <v>240</v>
      </c>
      <c r="G144" s="261">
        <f t="shared" si="10"/>
        <v>0.48</v>
      </c>
    </row>
    <row r="145" spans="1:7">
      <c r="A145" s="90">
        <v>8</v>
      </c>
      <c r="B145" s="83" t="s">
        <v>287</v>
      </c>
      <c r="C145" s="1" t="s">
        <v>111</v>
      </c>
      <c r="D145" s="83">
        <v>100</v>
      </c>
      <c r="E145" s="83">
        <v>50</v>
      </c>
      <c r="F145" s="82"/>
      <c r="G145" s="261">
        <f t="shared" si="10"/>
        <v>0</v>
      </c>
    </row>
    <row r="146" spans="1:7">
      <c r="A146" s="90">
        <v>9</v>
      </c>
      <c r="B146" s="83" t="s">
        <v>312</v>
      </c>
      <c r="C146" s="1" t="s">
        <v>111</v>
      </c>
      <c r="D146" s="83">
        <v>2</v>
      </c>
      <c r="E146" s="83">
        <v>2</v>
      </c>
      <c r="F146" s="82">
        <v>335</v>
      </c>
      <c r="G146" s="261">
        <f t="shared" si="10"/>
        <v>0.67</v>
      </c>
    </row>
    <row r="147" spans="1:7">
      <c r="D147">
        <f>SUM(D138:D146)</f>
        <v>428</v>
      </c>
      <c r="E147">
        <f>SUM(E138:E146)</f>
        <v>251</v>
      </c>
      <c r="G147" s="215">
        <f>SUM(G138:G146)</f>
        <v>25.205000000000002</v>
      </c>
    </row>
    <row r="148" spans="1:7">
      <c r="F148" s="79" t="s">
        <v>539</v>
      </c>
      <c r="G148" s="256">
        <f>G147*12</f>
        <v>302.46000000000004</v>
      </c>
    </row>
    <row r="149" spans="1:7" ht="24">
      <c r="F149" s="80" t="s">
        <v>14</v>
      </c>
      <c r="G149" s="80">
        <v>305</v>
      </c>
    </row>
  </sheetData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176"/>
  <sheetViews>
    <sheetView topLeftCell="A112" workbookViewId="0">
      <selection activeCell="G126" sqref="G126"/>
    </sheetView>
  </sheetViews>
  <sheetFormatPr defaultRowHeight="15"/>
  <cols>
    <col min="1" max="1" width="3.7109375" style="84" customWidth="1"/>
    <col min="2" max="2" width="22" style="128" customWidth="1"/>
    <col min="3" max="3" width="9.28515625" style="119" bestFit="1" customWidth="1"/>
    <col min="4" max="4" width="10.5703125" style="119" bestFit="1" customWidth="1"/>
    <col min="5" max="5" width="8.140625" style="84" customWidth="1"/>
    <col min="6" max="6" width="10.7109375" customWidth="1"/>
  </cols>
  <sheetData>
    <row r="1" spans="1:8">
      <c r="B1" s="125" t="s">
        <v>389</v>
      </c>
      <c r="C1" s="113"/>
      <c r="D1" s="113"/>
    </row>
    <row r="2" spans="1:8" ht="36">
      <c r="A2" s="4" t="s">
        <v>12</v>
      </c>
      <c r="B2" s="22" t="s">
        <v>0</v>
      </c>
      <c r="C2" s="4" t="s">
        <v>1</v>
      </c>
      <c r="D2" s="4" t="s">
        <v>2</v>
      </c>
      <c r="E2" s="4" t="s">
        <v>3</v>
      </c>
      <c r="F2" s="5" t="s">
        <v>39</v>
      </c>
      <c r="G2" s="30" t="s">
        <v>15</v>
      </c>
    </row>
    <row r="3" spans="1:8">
      <c r="A3" s="4">
        <v>1</v>
      </c>
      <c r="B3" s="126" t="s">
        <v>366</v>
      </c>
      <c r="C3" s="117" t="s">
        <v>111</v>
      </c>
      <c r="D3" s="116">
        <v>200</v>
      </c>
      <c r="E3" s="118">
        <v>140</v>
      </c>
      <c r="F3" s="93">
        <v>950</v>
      </c>
      <c r="G3" s="214">
        <f>D3*F3/1000</f>
        <v>190</v>
      </c>
      <c r="H3" t="s">
        <v>553</v>
      </c>
    </row>
    <row r="4" spans="1:8">
      <c r="A4" s="4">
        <v>2</v>
      </c>
      <c r="B4" s="126" t="s">
        <v>137</v>
      </c>
      <c r="C4" s="117" t="s">
        <v>111</v>
      </c>
      <c r="D4" s="116">
        <v>2</v>
      </c>
      <c r="E4" s="118"/>
      <c r="F4" s="93">
        <v>250</v>
      </c>
      <c r="G4" s="214">
        <f t="shared" ref="G4:G11" si="0">D4*F4/1000</f>
        <v>0.5</v>
      </c>
    </row>
    <row r="5" spans="1:8">
      <c r="A5" s="4">
        <v>3</v>
      </c>
      <c r="B5" s="126" t="s">
        <v>117</v>
      </c>
      <c r="C5" s="117" t="s">
        <v>111</v>
      </c>
      <c r="D5" s="116">
        <v>1</v>
      </c>
      <c r="E5" s="118"/>
      <c r="F5" s="93">
        <v>30</v>
      </c>
      <c r="G5" s="214">
        <f t="shared" si="0"/>
        <v>0.03</v>
      </c>
    </row>
    <row r="6" spans="1:8">
      <c r="A6" s="4">
        <v>4</v>
      </c>
      <c r="B6" s="126" t="s">
        <v>214</v>
      </c>
      <c r="C6" s="117" t="s">
        <v>111</v>
      </c>
      <c r="D6" s="116">
        <v>10</v>
      </c>
      <c r="E6" s="118"/>
      <c r="F6" s="93">
        <v>180</v>
      </c>
      <c r="G6" s="214">
        <f t="shared" si="0"/>
        <v>1.8</v>
      </c>
    </row>
    <row r="7" spans="1:8">
      <c r="A7" s="4">
        <v>5</v>
      </c>
      <c r="B7" s="126" t="s">
        <v>144</v>
      </c>
      <c r="C7" s="117" t="s">
        <v>111</v>
      </c>
      <c r="D7" s="116">
        <v>30</v>
      </c>
      <c r="E7" s="118">
        <v>20</v>
      </c>
      <c r="F7" s="93">
        <v>150</v>
      </c>
      <c r="G7" s="214">
        <f t="shared" si="0"/>
        <v>4.5</v>
      </c>
    </row>
    <row r="8" spans="1:8">
      <c r="A8" s="4">
        <v>6</v>
      </c>
      <c r="B8" s="126" t="s">
        <v>145</v>
      </c>
      <c r="C8" s="117" t="s">
        <v>111</v>
      </c>
      <c r="D8" s="116">
        <v>5</v>
      </c>
      <c r="E8" s="118"/>
      <c r="F8" s="93">
        <v>45</v>
      </c>
      <c r="G8" s="214">
        <f t="shared" si="0"/>
        <v>0.22500000000000001</v>
      </c>
    </row>
    <row r="9" spans="1:8">
      <c r="A9" s="4">
        <v>7</v>
      </c>
      <c r="B9" s="126" t="s">
        <v>768</v>
      </c>
      <c r="C9" s="117" t="s">
        <v>111</v>
      </c>
      <c r="D9" s="116">
        <v>20</v>
      </c>
      <c r="E9" s="118">
        <v>20</v>
      </c>
      <c r="F9" s="93">
        <v>180</v>
      </c>
      <c r="G9" s="214">
        <f t="shared" si="0"/>
        <v>3.6</v>
      </c>
    </row>
    <row r="10" spans="1:8">
      <c r="A10" s="4">
        <v>8</v>
      </c>
      <c r="B10" s="126" t="s">
        <v>369</v>
      </c>
      <c r="C10" s="117" t="s">
        <v>111</v>
      </c>
      <c r="D10" s="116">
        <v>50</v>
      </c>
      <c r="E10" s="118">
        <v>50</v>
      </c>
      <c r="F10" s="93">
        <v>650</v>
      </c>
      <c r="G10" s="214">
        <f t="shared" si="0"/>
        <v>32.5</v>
      </c>
    </row>
    <row r="11" spans="1:8">
      <c r="A11" s="4">
        <v>9</v>
      </c>
      <c r="B11" s="127" t="s">
        <v>281</v>
      </c>
      <c r="C11" s="117" t="s">
        <v>111</v>
      </c>
      <c r="D11" s="116">
        <v>100</v>
      </c>
      <c r="E11" s="118">
        <v>80</v>
      </c>
      <c r="F11" s="93">
        <v>250</v>
      </c>
      <c r="G11" s="214">
        <f t="shared" si="0"/>
        <v>25</v>
      </c>
    </row>
    <row r="12" spans="1:8">
      <c r="A12" s="102"/>
      <c r="B12" s="102"/>
      <c r="C12" s="102"/>
      <c r="D12">
        <f>SUM(D3:D11)</f>
        <v>418</v>
      </c>
      <c r="E12">
        <f>SUM(E3:E11)</f>
        <v>310</v>
      </c>
      <c r="G12" s="215">
        <f>SUM(G3:G11)</f>
        <v>258.15499999999997</v>
      </c>
    </row>
    <row r="13" spans="1:8">
      <c r="A13" s="102"/>
      <c r="B13" s="102"/>
      <c r="D13"/>
      <c r="E13"/>
      <c r="F13" s="79" t="s">
        <v>28</v>
      </c>
      <c r="G13" s="256">
        <f>G12*3</f>
        <v>774.46499999999992</v>
      </c>
    </row>
    <row r="14" spans="1:8" ht="14.45" customHeight="1">
      <c r="A14" s="102"/>
      <c r="B14" s="102"/>
      <c r="D14"/>
      <c r="E14"/>
      <c r="F14" s="80" t="s">
        <v>14</v>
      </c>
      <c r="G14" s="80">
        <v>850</v>
      </c>
    </row>
    <row r="15" spans="1:8" ht="15.75">
      <c r="B15" s="136" t="s">
        <v>362</v>
      </c>
      <c r="D15" s="113"/>
      <c r="F15" s="91"/>
    </row>
    <row r="16" spans="1:8" ht="36">
      <c r="A16" s="26" t="s">
        <v>12</v>
      </c>
      <c r="B16" s="22" t="s">
        <v>0</v>
      </c>
      <c r="C16" s="4" t="s">
        <v>1</v>
      </c>
      <c r="D16" s="4" t="s">
        <v>2</v>
      </c>
      <c r="E16" s="4" t="s">
        <v>3</v>
      </c>
      <c r="F16" s="5" t="s">
        <v>39</v>
      </c>
      <c r="G16" s="30" t="s">
        <v>15</v>
      </c>
    </row>
    <row r="17" spans="1:12">
      <c r="A17" s="4">
        <v>1</v>
      </c>
      <c r="B17" s="126" t="s">
        <v>363</v>
      </c>
      <c r="C17" s="117" t="s">
        <v>111</v>
      </c>
      <c r="D17" s="118">
        <v>300</v>
      </c>
      <c r="E17" s="118">
        <v>200</v>
      </c>
      <c r="F17" s="93">
        <v>1450</v>
      </c>
      <c r="G17" s="214">
        <f>F17*D17/1000</f>
        <v>435</v>
      </c>
    </row>
    <row r="18" spans="1:12">
      <c r="A18" s="4">
        <v>4</v>
      </c>
      <c r="B18" s="126" t="s">
        <v>117</v>
      </c>
      <c r="C18" s="117" t="s">
        <v>111</v>
      </c>
      <c r="D18" s="118">
        <v>1</v>
      </c>
      <c r="E18" s="118">
        <v>1</v>
      </c>
      <c r="F18" s="93">
        <v>30</v>
      </c>
      <c r="G18" s="214">
        <f t="shared" ref="G18:G25" si="1">F18*D18/1000</f>
        <v>0.03</v>
      </c>
    </row>
    <row r="19" spans="1:12">
      <c r="A19" s="4">
        <v>5</v>
      </c>
      <c r="B19" s="126" t="s">
        <v>214</v>
      </c>
      <c r="C19" s="117" t="s">
        <v>111</v>
      </c>
      <c r="D19" s="118">
        <v>10</v>
      </c>
      <c r="E19" s="118">
        <v>10</v>
      </c>
      <c r="F19" s="93">
        <v>180</v>
      </c>
      <c r="G19" s="214">
        <f t="shared" si="1"/>
        <v>1.8</v>
      </c>
    </row>
    <row r="20" spans="1:12">
      <c r="A20" s="4">
        <v>6</v>
      </c>
      <c r="B20" s="126" t="s">
        <v>365</v>
      </c>
      <c r="C20" s="117" t="s">
        <v>111</v>
      </c>
      <c r="D20" s="118">
        <v>1</v>
      </c>
      <c r="E20" s="118">
        <v>1</v>
      </c>
      <c r="F20" s="93">
        <v>650</v>
      </c>
      <c r="G20" s="214">
        <f t="shared" si="1"/>
        <v>0.65</v>
      </c>
    </row>
    <row r="21" spans="1:12">
      <c r="A21" s="4">
        <v>7</v>
      </c>
      <c r="B21" s="126" t="s">
        <v>343</v>
      </c>
      <c r="C21" s="117" t="s">
        <v>111</v>
      </c>
      <c r="D21" s="118">
        <v>200</v>
      </c>
      <c r="E21" s="118">
        <v>150</v>
      </c>
      <c r="F21" s="93">
        <v>300</v>
      </c>
      <c r="G21" s="214"/>
    </row>
    <row r="22" spans="1:12">
      <c r="A22" s="4">
        <v>8</v>
      </c>
      <c r="B22" s="126" t="s">
        <v>318</v>
      </c>
      <c r="C22" s="117" t="s">
        <v>111</v>
      </c>
      <c r="D22" s="118">
        <v>50</v>
      </c>
      <c r="E22" s="118">
        <v>50</v>
      </c>
      <c r="F22" s="93">
        <v>440</v>
      </c>
      <c r="G22" s="214">
        <f t="shared" si="1"/>
        <v>22</v>
      </c>
    </row>
    <row r="23" spans="1:12">
      <c r="A23" s="4">
        <v>9</v>
      </c>
      <c r="B23" s="126" t="s">
        <v>790</v>
      </c>
      <c r="C23" s="117" t="s">
        <v>111</v>
      </c>
      <c r="D23" s="118">
        <v>30</v>
      </c>
      <c r="E23" s="118">
        <v>30</v>
      </c>
      <c r="F23" s="93">
        <v>250</v>
      </c>
      <c r="G23" s="214">
        <f t="shared" si="1"/>
        <v>7.5</v>
      </c>
    </row>
    <row r="24" spans="1:12">
      <c r="A24" s="4">
        <v>10</v>
      </c>
      <c r="B24" s="129" t="s">
        <v>210</v>
      </c>
      <c r="C24" s="117" t="s">
        <v>111</v>
      </c>
      <c r="D24" s="118">
        <v>20</v>
      </c>
      <c r="E24" s="118">
        <v>20</v>
      </c>
      <c r="F24" s="93">
        <v>150</v>
      </c>
      <c r="G24" s="214">
        <f t="shared" si="1"/>
        <v>3</v>
      </c>
    </row>
    <row r="25" spans="1:12">
      <c r="A25" s="4">
        <v>11</v>
      </c>
      <c r="B25" s="129" t="s">
        <v>396</v>
      </c>
      <c r="C25" s="117" t="s">
        <v>187</v>
      </c>
      <c r="D25" s="118">
        <v>10</v>
      </c>
      <c r="E25" s="4">
        <v>10</v>
      </c>
      <c r="F25" s="93">
        <v>150</v>
      </c>
      <c r="G25" s="349">
        <f t="shared" si="1"/>
        <v>1.5</v>
      </c>
    </row>
    <row r="26" spans="1:12" ht="14.45" customHeight="1">
      <c r="A26"/>
      <c r="B26"/>
      <c r="C26"/>
      <c r="D26">
        <f>SUM(D18:D25)</f>
        <v>322</v>
      </c>
      <c r="E26">
        <f>SUM(E18:E25)</f>
        <v>272</v>
      </c>
      <c r="G26" s="214">
        <f>SUM(G17:G25)</f>
        <v>471.47999999999996</v>
      </c>
    </row>
    <row r="27" spans="1:12" ht="12.6" customHeight="1">
      <c r="A27"/>
      <c r="B27"/>
      <c r="C27"/>
      <c r="D27"/>
      <c r="E27"/>
      <c r="F27" s="79" t="s">
        <v>28</v>
      </c>
      <c r="G27" s="256">
        <f>G26*3</f>
        <v>1414.4399999999998</v>
      </c>
    </row>
    <row r="28" spans="1:12" ht="12.6" customHeight="1">
      <c r="A28"/>
      <c r="B28"/>
      <c r="C28"/>
      <c r="D28"/>
      <c r="E28"/>
      <c r="F28" s="80" t="s">
        <v>14</v>
      </c>
      <c r="G28" s="80">
        <v>1400</v>
      </c>
    </row>
    <row r="29" spans="1:12" ht="15.75">
      <c r="B29" s="136" t="s">
        <v>393</v>
      </c>
      <c r="D29" s="115"/>
      <c r="E29" s="115"/>
    </row>
    <row r="30" spans="1:12" ht="36">
      <c r="A30" s="4" t="s">
        <v>12</v>
      </c>
      <c r="B30" s="22" t="s">
        <v>0</v>
      </c>
      <c r="C30" s="4" t="s">
        <v>1</v>
      </c>
      <c r="D30" s="4" t="s">
        <v>2</v>
      </c>
      <c r="E30" s="4" t="s">
        <v>3</v>
      </c>
      <c r="F30" s="5" t="s">
        <v>39</v>
      </c>
      <c r="G30" s="30" t="s">
        <v>15</v>
      </c>
    </row>
    <row r="31" spans="1:12">
      <c r="A31" s="86">
        <v>1</v>
      </c>
      <c r="B31" s="130" t="s">
        <v>191</v>
      </c>
      <c r="C31" s="117" t="s">
        <v>111</v>
      </c>
      <c r="D31" s="120">
        <v>160</v>
      </c>
      <c r="E31" s="120">
        <v>140</v>
      </c>
      <c r="F31" s="53">
        <v>843</v>
      </c>
      <c r="G31" s="262">
        <f>D31*F31/1000</f>
        <v>134.88</v>
      </c>
      <c r="H31" s="252"/>
      <c r="I31" s="252"/>
      <c r="J31" s="252"/>
      <c r="K31" s="252"/>
      <c r="L31" s="252"/>
    </row>
    <row r="32" spans="1:12">
      <c r="A32" s="86">
        <v>7</v>
      </c>
      <c r="B32" s="130" t="s">
        <v>394</v>
      </c>
      <c r="C32" s="117" t="s">
        <v>111</v>
      </c>
      <c r="D32" s="120">
        <v>70</v>
      </c>
      <c r="E32" s="120">
        <v>120</v>
      </c>
      <c r="F32" s="53">
        <v>97</v>
      </c>
      <c r="G32" s="174">
        <f t="shared" ref="G32:G37" si="2">D32*F32/1000</f>
        <v>6.79</v>
      </c>
    </row>
    <row r="33" spans="1:7">
      <c r="A33" s="86">
        <v>8</v>
      </c>
      <c r="B33" s="130" t="s">
        <v>395</v>
      </c>
      <c r="C33" s="117" t="s">
        <v>111</v>
      </c>
      <c r="D33" s="120">
        <v>30</v>
      </c>
      <c r="E33" s="120"/>
      <c r="F33" s="53">
        <v>1680</v>
      </c>
      <c r="G33" s="174">
        <f t="shared" si="2"/>
        <v>50.4</v>
      </c>
    </row>
    <row r="34" spans="1:7">
      <c r="A34" s="86">
        <v>9</v>
      </c>
      <c r="B34" s="130" t="s">
        <v>391</v>
      </c>
      <c r="C34" s="117" t="s">
        <v>111</v>
      </c>
      <c r="D34" s="120">
        <v>10</v>
      </c>
      <c r="E34" s="120">
        <v>10</v>
      </c>
      <c r="F34" s="53">
        <v>391</v>
      </c>
      <c r="G34" s="174">
        <f t="shared" si="2"/>
        <v>3.91</v>
      </c>
    </row>
    <row r="35" spans="1:7">
      <c r="A35" s="86">
        <v>10</v>
      </c>
      <c r="B35" s="130" t="s">
        <v>214</v>
      </c>
      <c r="C35" s="117" t="s">
        <v>111</v>
      </c>
      <c r="D35" s="120">
        <v>10</v>
      </c>
      <c r="E35" s="120"/>
      <c r="F35" s="53">
        <v>150</v>
      </c>
      <c r="G35" s="174">
        <f t="shared" si="2"/>
        <v>1.5</v>
      </c>
    </row>
    <row r="36" spans="1:7">
      <c r="A36" s="86">
        <v>11</v>
      </c>
      <c r="B36" s="130" t="s">
        <v>396</v>
      </c>
      <c r="C36" s="117" t="s">
        <v>111</v>
      </c>
      <c r="D36" s="120">
        <v>30</v>
      </c>
      <c r="E36" s="120">
        <v>30</v>
      </c>
      <c r="F36" s="53">
        <v>220</v>
      </c>
      <c r="G36" s="174">
        <f t="shared" si="2"/>
        <v>6.6</v>
      </c>
    </row>
    <row r="37" spans="1:7">
      <c r="A37" s="86">
        <v>12</v>
      </c>
      <c r="B37" s="130" t="s">
        <v>210</v>
      </c>
      <c r="C37" s="117" t="s">
        <v>111</v>
      </c>
      <c r="D37" s="120">
        <v>15</v>
      </c>
      <c r="E37" s="120">
        <v>10</v>
      </c>
      <c r="F37" s="53">
        <v>200</v>
      </c>
      <c r="G37" s="174">
        <f t="shared" si="2"/>
        <v>3</v>
      </c>
    </row>
    <row r="38" spans="1:7">
      <c r="A38"/>
      <c r="B38"/>
      <c r="C38"/>
      <c r="D38">
        <f>SUM(D31:D37)</f>
        <v>325</v>
      </c>
      <c r="E38">
        <f>SUM(E31:E37)</f>
        <v>310</v>
      </c>
      <c r="G38" s="215">
        <f>SUM(G31:G37)</f>
        <v>207.07999999999998</v>
      </c>
    </row>
    <row r="39" spans="1:7">
      <c r="A39" s="55"/>
      <c r="B39" s="55"/>
      <c r="D39"/>
      <c r="E39"/>
      <c r="F39" s="79" t="s">
        <v>28</v>
      </c>
      <c r="G39" s="12">
        <f>G38*3</f>
        <v>621.24</v>
      </c>
    </row>
    <row r="40" spans="1:7" ht="24">
      <c r="A40" s="55"/>
      <c r="B40" s="55"/>
      <c r="D40"/>
      <c r="E40"/>
      <c r="F40" s="80" t="s">
        <v>14</v>
      </c>
      <c r="G40" s="13">
        <v>720</v>
      </c>
    </row>
    <row r="41" spans="1:7" ht="15.75">
      <c r="B41" s="136" t="s">
        <v>379</v>
      </c>
      <c r="C41" s="121"/>
      <c r="D41" s="113"/>
      <c r="F41" s="91"/>
      <c r="G41" s="100"/>
    </row>
    <row r="42" spans="1:7" ht="36">
      <c r="A42" s="4" t="s">
        <v>12</v>
      </c>
      <c r="B42" s="22" t="s">
        <v>0</v>
      </c>
      <c r="C42" s="4" t="s">
        <v>1</v>
      </c>
      <c r="D42" s="4" t="s">
        <v>2</v>
      </c>
      <c r="E42" s="4" t="s">
        <v>3</v>
      </c>
      <c r="F42" s="5" t="s">
        <v>39</v>
      </c>
      <c r="G42" s="30" t="s">
        <v>15</v>
      </c>
    </row>
    <row r="43" spans="1:7">
      <c r="A43" s="4">
        <v>1</v>
      </c>
      <c r="B43" s="129" t="s">
        <v>380</v>
      </c>
      <c r="C43" s="117" t="s">
        <v>111</v>
      </c>
      <c r="D43" s="116">
        <v>250</v>
      </c>
      <c r="E43" s="116">
        <v>220</v>
      </c>
      <c r="F43" s="93">
        <v>1750</v>
      </c>
      <c r="G43" s="214">
        <f>D43*F43/1000</f>
        <v>437.5</v>
      </c>
    </row>
    <row r="44" spans="1:7">
      <c r="A44" s="4">
        <v>2</v>
      </c>
      <c r="B44" s="126" t="s">
        <v>117</v>
      </c>
      <c r="C44" s="117" t="s">
        <v>111</v>
      </c>
      <c r="D44" s="116">
        <v>2</v>
      </c>
      <c r="E44" s="116"/>
      <c r="F44" s="93">
        <v>30</v>
      </c>
      <c r="G44" s="214">
        <f t="shared" ref="G44:G50" si="3">D44*F44/1000</f>
        <v>0.06</v>
      </c>
    </row>
    <row r="45" spans="1:7">
      <c r="A45" s="4">
        <v>3</v>
      </c>
      <c r="B45" s="126" t="s">
        <v>381</v>
      </c>
      <c r="C45" s="117" t="s">
        <v>111</v>
      </c>
      <c r="D45" s="116">
        <v>2</v>
      </c>
      <c r="E45" s="116"/>
      <c r="F45" s="93">
        <v>650</v>
      </c>
      <c r="G45" s="214">
        <f t="shared" si="3"/>
        <v>1.3</v>
      </c>
    </row>
    <row r="46" spans="1:7">
      <c r="A46" s="4">
        <v>4</v>
      </c>
      <c r="B46" s="126" t="s">
        <v>214</v>
      </c>
      <c r="C46" s="117" t="s">
        <v>111</v>
      </c>
      <c r="D46" s="116">
        <v>10</v>
      </c>
      <c r="E46" s="116"/>
      <c r="F46" s="93">
        <v>150</v>
      </c>
      <c r="G46" s="214">
        <f t="shared" si="3"/>
        <v>1.5</v>
      </c>
    </row>
    <row r="47" spans="1:7">
      <c r="A47" s="4">
        <v>5</v>
      </c>
      <c r="B47" s="126" t="s">
        <v>364</v>
      </c>
      <c r="C47" s="117" t="s">
        <v>111</v>
      </c>
      <c r="D47" s="116">
        <v>1</v>
      </c>
      <c r="E47" s="116"/>
      <c r="F47" s="93">
        <v>1500</v>
      </c>
      <c r="G47" s="214">
        <f t="shared" si="3"/>
        <v>1.5</v>
      </c>
    </row>
    <row r="48" spans="1:7">
      <c r="A48" s="4">
        <v>6</v>
      </c>
      <c r="B48" s="126" t="s">
        <v>171</v>
      </c>
      <c r="C48" s="117" t="s">
        <v>111</v>
      </c>
      <c r="D48" s="116">
        <v>1</v>
      </c>
      <c r="E48" s="116"/>
      <c r="F48" s="93">
        <v>250</v>
      </c>
      <c r="G48" s="214">
        <f t="shared" si="3"/>
        <v>0.25</v>
      </c>
    </row>
    <row r="49" spans="1:7">
      <c r="A49" s="4">
        <v>7</v>
      </c>
      <c r="B49" s="126" t="s">
        <v>375</v>
      </c>
      <c r="C49" s="117" t="s">
        <v>111</v>
      </c>
      <c r="D49" s="116">
        <v>150</v>
      </c>
      <c r="E49" s="116">
        <v>150</v>
      </c>
      <c r="F49" s="93">
        <v>58</v>
      </c>
      <c r="G49" s="214"/>
    </row>
    <row r="50" spans="1:7">
      <c r="A50" s="4">
        <v>8</v>
      </c>
      <c r="B50" s="126" t="s">
        <v>382</v>
      </c>
      <c r="C50" s="117" t="s">
        <v>111</v>
      </c>
      <c r="D50" s="116">
        <v>30</v>
      </c>
      <c r="E50" s="116">
        <v>30</v>
      </c>
      <c r="F50" s="93">
        <v>1150</v>
      </c>
      <c r="G50" s="214">
        <f t="shared" si="3"/>
        <v>34.5</v>
      </c>
    </row>
    <row r="51" spans="1:7">
      <c r="A51"/>
      <c r="B51"/>
      <c r="C51"/>
      <c r="D51">
        <f>SUM(D43:D50)</f>
        <v>446</v>
      </c>
      <c r="E51">
        <f t="shared" ref="E51:G51" si="4">SUM(E43:E50)</f>
        <v>400</v>
      </c>
      <c r="G51" s="215">
        <f t="shared" si="4"/>
        <v>476.61</v>
      </c>
    </row>
    <row r="52" spans="1:7">
      <c r="A52" s="102"/>
      <c r="B52" s="102"/>
      <c r="D52"/>
      <c r="E52"/>
      <c r="F52" s="245" t="s">
        <v>60</v>
      </c>
      <c r="G52" s="246">
        <f>G51*2</f>
        <v>953.22</v>
      </c>
    </row>
    <row r="53" spans="1:7" ht="15.6" customHeight="1">
      <c r="A53" s="102"/>
      <c r="B53" s="102"/>
      <c r="D53"/>
      <c r="E53"/>
      <c r="F53" s="247" t="s">
        <v>14</v>
      </c>
      <c r="G53" s="248">
        <v>1080</v>
      </c>
    </row>
    <row r="54" spans="1:7" ht="15.75">
      <c r="B54" s="136" t="s">
        <v>372</v>
      </c>
      <c r="C54" s="113"/>
      <c r="D54" s="113"/>
      <c r="F54" s="91"/>
    </row>
    <row r="55" spans="1:7" ht="38.450000000000003" customHeight="1">
      <c r="A55" s="4" t="s">
        <v>12</v>
      </c>
      <c r="B55" s="22" t="s">
        <v>0</v>
      </c>
      <c r="C55" s="4" t="s">
        <v>1</v>
      </c>
      <c r="D55" s="4" t="s">
        <v>2</v>
      </c>
      <c r="E55" s="4" t="s">
        <v>3</v>
      </c>
      <c r="F55" s="5" t="s">
        <v>39</v>
      </c>
      <c r="G55" s="30" t="s">
        <v>15</v>
      </c>
    </row>
    <row r="56" spans="1:7">
      <c r="A56" s="4">
        <v>1</v>
      </c>
      <c r="B56" s="126" t="s">
        <v>397</v>
      </c>
      <c r="C56" s="117" t="s">
        <v>111</v>
      </c>
      <c r="D56" s="116">
        <v>300</v>
      </c>
      <c r="E56" s="116">
        <v>250</v>
      </c>
      <c r="F56" s="93">
        <v>1700</v>
      </c>
      <c r="G56" s="214">
        <f>D56*F56/1000</f>
        <v>510</v>
      </c>
    </row>
    <row r="57" spans="1:7">
      <c r="A57" s="4">
        <v>2</v>
      </c>
      <c r="B57" s="126" t="s">
        <v>117</v>
      </c>
      <c r="C57" s="117" t="s">
        <v>111</v>
      </c>
      <c r="D57" s="116">
        <v>2</v>
      </c>
      <c r="E57" s="116">
        <v>1</v>
      </c>
      <c r="F57" s="93">
        <v>30</v>
      </c>
      <c r="G57" s="214">
        <f t="shared" ref="G57:G65" si="5">D57*F57/1000</f>
        <v>0.06</v>
      </c>
    </row>
    <row r="58" spans="1:7">
      <c r="A58" s="4">
        <v>3</v>
      </c>
      <c r="B58" s="126" t="s">
        <v>367</v>
      </c>
      <c r="C58" s="117" t="s">
        <v>111</v>
      </c>
      <c r="D58" s="116">
        <v>2</v>
      </c>
      <c r="E58" s="116"/>
      <c r="F58" s="93">
        <v>650</v>
      </c>
      <c r="G58" s="214">
        <f t="shared" si="5"/>
        <v>1.3</v>
      </c>
    </row>
    <row r="59" spans="1:7">
      <c r="A59" s="4">
        <v>4</v>
      </c>
      <c r="B59" s="126" t="s">
        <v>373</v>
      </c>
      <c r="C59" s="117" t="s">
        <v>111</v>
      </c>
      <c r="D59" s="116">
        <v>10</v>
      </c>
      <c r="E59" s="116"/>
      <c r="F59" s="93">
        <v>150</v>
      </c>
      <c r="G59" s="214">
        <f t="shared" si="5"/>
        <v>1.5</v>
      </c>
    </row>
    <row r="60" spans="1:7">
      <c r="A60" s="4">
        <v>5</v>
      </c>
      <c r="B60" s="126" t="s">
        <v>364</v>
      </c>
      <c r="C60" s="117" t="s">
        <v>111</v>
      </c>
      <c r="D60" s="116">
        <v>1</v>
      </c>
      <c r="E60" s="116"/>
      <c r="F60" s="93">
        <v>1500</v>
      </c>
      <c r="G60" s="214">
        <f t="shared" si="5"/>
        <v>1.5</v>
      </c>
    </row>
    <row r="61" spans="1:7">
      <c r="A61" s="4">
        <v>6</v>
      </c>
      <c r="B61" s="126" t="s">
        <v>368</v>
      </c>
      <c r="C61" s="117" t="s">
        <v>111</v>
      </c>
      <c r="D61" s="116">
        <v>30</v>
      </c>
      <c r="E61" s="116">
        <v>30</v>
      </c>
      <c r="F61" s="93">
        <v>300</v>
      </c>
      <c r="G61" s="214"/>
    </row>
    <row r="62" spans="1:7">
      <c r="A62" s="4">
        <v>7</v>
      </c>
      <c r="B62" s="126" t="s">
        <v>171</v>
      </c>
      <c r="C62" s="117" t="s">
        <v>111</v>
      </c>
      <c r="D62" s="116">
        <v>1</v>
      </c>
      <c r="E62" s="116"/>
      <c r="F62" s="93">
        <v>225</v>
      </c>
      <c r="G62" s="214">
        <f t="shared" si="5"/>
        <v>0.22500000000000001</v>
      </c>
    </row>
    <row r="63" spans="1:7">
      <c r="A63" s="4">
        <v>8</v>
      </c>
      <c r="B63" s="126" t="s">
        <v>374</v>
      </c>
      <c r="C63" s="117" t="s">
        <v>111</v>
      </c>
      <c r="D63" s="116">
        <v>30</v>
      </c>
      <c r="E63" s="116">
        <v>30</v>
      </c>
      <c r="F63" s="93">
        <v>200</v>
      </c>
      <c r="G63" s="214">
        <f t="shared" si="5"/>
        <v>6</v>
      </c>
    </row>
    <row r="64" spans="1:7">
      <c r="A64" s="4">
        <v>9</v>
      </c>
      <c r="B64" s="131" t="s">
        <v>561</v>
      </c>
      <c r="C64" s="117" t="s">
        <v>111</v>
      </c>
      <c r="D64" s="118">
        <v>150</v>
      </c>
      <c r="E64" s="118">
        <v>120</v>
      </c>
      <c r="F64" s="93">
        <v>30</v>
      </c>
      <c r="G64" s="214"/>
    </row>
    <row r="65" spans="1:7">
      <c r="A65" s="4">
        <v>10</v>
      </c>
      <c r="B65" s="131" t="s">
        <v>285</v>
      </c>
      <c r="C65" s="117" t="s">
        <v>111</v>
      </c>
      <c r="D65" s="118">
        <v>5</v>
      </c>
      <c r="E65" s="118"/>
      <c r="F65" s="93">
        <v>800</v>
      </c>
      <c r="G65" s="214">
        <f t="shared" si="5"/>
        <v>4</v>
      </c>
    </row>
    <row r="66" spans="1:7">
      <c r="A66"/>
      <c r="B66"/>
      <c r="C66"/>
      <c r="D66">
        <f>SUM(D56:D65)</f>
        <v>531</v>
      </c>
      <c r="E66">
        <f t="shared" ref="E66" si="6">SUM(E56:E65)</f>
        <v>431</v>
      </c>
      <c r="G66" s="215">
        <f>SUM(G56:G65)</f>
        <v>524.58500000000004</v>
      </c>
    </row>
    <row r="67" spans="1:7" ht="16.149999999999999" customHeight="1">
      <c r="A67" s="102"/>
      <c r="B67" s="102"/>
      <c r="D67"/>
      <c r="E67"/>
      <c r="F67" s="245" t="s">
        <v>60</v>
      </c>
      <c r="G67" s="246">
        <f>G66*2</f>
        <v>1049.17</v>
      </c>
    </row>
    <row r="68" spans="1:7" ht="16.149999999999999" customHeight="1">
      <c r="A68" s="102"/>
      <c r="B68" s="102"/>
      <c r="D68"/>
      <c r="E68"/>
      <c r="F68" s="247" t="s">
        <v>14</v>
      </c>
      <c r="G68" s="248">
        <v>1350</v>
      </c>
    </row>
    <row r="69" spans="1:7" ht="15.75">
      <c r="B69" s="136" t="s">
        <v>376</v>
      </c>
      <c r="C69" s="113"/>
      <c r="D69" s="113"/>
      <c r="F69" s="91"/>
    </row>
    <row r="70" spans="1:7" ht="36">
      <c r="A70" s="4" t="s">
        <v>12</v>
      </c>
      <c r="B70" s="22" t="s">
        <v>0</v>
      </c>
      <c r="C70" s="4" t="s">
        <v>1</v>
      </c>
      <c r="D70" s="4" t="s">
        <v>2</v>
      </c>
      <c r="E70" s="4" t="s">
        <v>3</v>
      </c>
      <c r="F70" s="5" t="s">
        <v>39</v>
      </c>
      <c r="G70" s="30" t="s">
        <v>15</v>
      </c>
    </row>
    <row r="71" spans="1:7">
      <c r="A71" s="4">
        <v>1</v>
      </c>
      <c r="B71" s="132" t="s">
        <v>377</v>
      </c>
      <c r="C71" s="117" t="s">
        <v>111</v>
      </c>
      <c r="D71" s="118">
        <v>250</v>
      </c>
      <c r="E71" s="118">
        <v>210</v>
      </c>
      <c r="F71" s="93">
        <v>1800</v>
      </c>
      <c r="G71" s="214">
        <f>D71*F71/1000</f>
        <v>450</v>
      </c>
    </row>
    <row r="72" spans="1:7">
      <c r="A72" s="4">
        <v>2</v>
      </c>
      <c r="B72" s="133" t="s">
        <v>378</v>
      </c>
      <c r="C72" s="117" t="s">
        <v>111</v>
      </c>
      <c r="D72" s="122">
        <v>2</v>
      </c>
      <c r="E72" s="122"/>
      <c r="F72" s="93">
        <v>850</v>
      </c>
      <c r="G72" s="214">
        <f t="shared" ref="G72:G79" si="7">D72*F72/1000</f>
        <v>1.7</v>
      </c>
    </row>
    <row r="73" spans="1:7">
      <c r="A73" s="4">
        <v>3</v>
      </c>
      <c r="B73" s="133" t="s">
        <v>274</v>
      </c>
      <c r="C73" s="117" t="s">
        <v>111</v>
      </c>
      <c r="D73" s="122">
        <v>50</v>
      </c>
      <c r="E73" s="122">
        <v>50</v>
      </c>
      <c r="F73" s="93">
        <v>530</v>
      </c>
      <c r="G73" s="214">
        <f t="shared" si="7"/>
        <v>26.5</v>
      </c>
    </row>
    <row r="74" spans="1:7" ht="17.25" customHeight="1">
      <c r="A74" s="4">
        <v>2</v>
      </c>
      <c r="B74" s="133" t="s">
        <v>117</v>
      </c>
      <c r="C74" s="117" t="s">
        <v>111</v>
      </c>
      <c r="D74" s="122">
        <v>2</v>
      </c>
      <c r="E74" s="122"/>
      <c r="F74" s="93">
        <v>30</v>
      </c>
      <c r="G74" s="214">
        <f t="shared" si="7"/>
        <v>0.06</v>
      </c>
    </row>
    <row r="75" spans="1:7" ht="17.25" customHeight="1">
      <c r="A75" s="4">
        <v>3</v>
      </c>
      <c r="B75" s="133" t="s">
        <v>171</v>
      </c>
      <c r="C75" s="117" t="s">
        <v>111</v>
      </c>
      <c r="D75" s="122">
        <v>2</v>
      </c>
      <c r="E75" s="122"/>
      <c r="F75" s="93">
        <v>250</v>
      </c>
      <c r="G75" s="214">
        <f t="shared" si="7"/>
        <v>0.5</v>
      </c>
    </row>
    <row r="76" spans="1:7" ht="17.25" customHeight="1">
      <c r="A76" s="4">
        <v>4</v>
      </c>
      <c r="B76" s="133" t="s">
        <v>214</v>
      </c>
      <c r="C76" s="117" t="s">
        <v>111</v>
      </c>
      <c r="D76" s="122">
        <v>10</v>
      </c>
      <c r="E76" s="122">
        <v>10</v>
      </c>
      <c r="F76" s="93">
        <v>180</v>
      </c>
      <c r="G76" s="214">
        <f t="shared" si="7"/>
        <v>1.8</v>
      </c>
    </row>
    <row r="77" spans="1:7">
      <c r="A77" s="4">
        <v>5</v>
      </c>
      <c r="B77" s="133" t="s">
        <v>367</v>
      </c>
      <c r="C77" s="117" t="s">
        <v>111</v>
      </c>
      <c r="D77" s="122">
        <v>1</v>
      </c>
      <c r="E77" s="122"/>
      <c r="F77" s="93">
        <v>650</v>
      </c>
      <c r="G77" s="214">
        <f t="shared" si="7"/>
        <v>0.65</v>
      </c>
    </row>
    <row r="78" spans="1:7">
      <c r="A78" s="4">
        <v>6</v>
      </c>
      <c r="B78" s="133" t="s">
        <v>561</v>
      </c>
      <c r="C78" s="117" t="s">
        <v>111</v>
      </c>
      <c r="D78" s="122">
        <v>150</v>
      </c>
      <c r="E78" s="122">
        <v>120</v>
      </c>
      <c r="F78" s="93">
        <v>40</v>
      </c>
      <c r="G78" s="214"/>
    </row>
    <row r="79" spans="1:7">
      <c r="A79" s="4">
        <v>7</v>
      </c>
      <c r="B79" s="133" t="s">
        <v>229</v>
      </c>
      <c r="C79" s="117" t="s">
        <v>111</v>
      </c>
      <c r="D79" s="122">
        <v>1</v>
      </c>
      <c r="E79" s="122"/>
      <c r="F79" s="93">
        <v>250</v>
      </c>
      <c r="G79" s="214">
        <f t="shared" si="7"/>
        <v>0.25</v>
      </c>
    </row>
    <row r="80" spans="1:7">
      <c r="A80"/>
      <c r="B80"/>
      <c r="C80"/>
      <c r="D80">
        <f>SUM(D71:D79)</f>
        <v>468</v>
      </c>
      <c r="E80">
        <f t="shared" ref="E80:G80" si="8">SUM(E71:E79)</f>
        <v>390</v>
      </c>
      <c r="G80" s="215">
        <f t="shared" si="8"/>
        <v>481.46</v>
      </c>
    </row>
    <row r="81" spans="1:11">
      <c r="A81" s="102"/>
      <c r="B81" s="102"/>
      <c r="D81"/>
      <c r="E81"/>
      <c r="F81" s="245" t="s">
        <v>60</v>
      </c>
      <c r="G81" s="246">
        <f>G80*2</f>
        <v>962.92</v>
      </c>
    </row>
    <row r="82" spans="1:11" ht="15" customHeight="1">
      <c r="A82" s="102"/>
      <c r="B82" s="102"/>
      <c r="D82"/>
      <c r="E82"/>
      <c r="F82" s="247" t="s">
        <v>14</v>
      </c>
      <c r="G82" s="248">
        <v>980</v>
      </c>
    </row>
    <row r="83" spans="1:11" ht="15.75">
      <c r="B83" s="136" t="s">
        <v>370</v>
      </c>
      <c r="C83" s="113"/>
      <c r="D83" s="113"/>
      <c r="F83" s="91"/>
    </row>
    <row r="84" spans="1:11" ht="36">
      <c r="A84" s="4" t="s">
        <v>12</v>
      </c>
      <c r="B84" s="22" t="s">
        <v>0</v>
      </c>
      <c r="C84" s="4" t="s">
        <v>1</v>
      </c>
      <c r="D84" s="4" t="s">
        <v>2</v>
      </c>
      <c r="E84" s="4" t="s">
        <v>3</v>
      </c>
      <c r="F84" s="5" t="s">
        <v>39</v>
      </c>
      <c r="G84" s="30" t="s">
        <v>15</v>
      </c>
    </row>
    <row r="85" spans="1:11">
      <c r="A85" s="4">
        <v>1</v>
      </c>
      <c r="B85" s="134" t="s">
        <v>794</v>
      </c>
      <c r="C85" s="117" t="s">
        <v>111</v>
      </c>
      <c r="D85" s="120">
        <v>300</v>
      </c>
      <c r="E85" s="120">
        <v>220</v>
      </c>
      <c r="F85" s="93">
        <v>750</v>
      </c>
      <c r="G85" s="263">
        <f>D85*F85/1000</f>
        <v>225</v>
      </c>
      <c r="H85" s="252"/>
      <c r="I85" s="252"/>
      <c r="J85" s="252"/>
      <c r="K85" s="252"/>
    </row>
    <row r="86" spans="1:11">
      <c r="A86" s="4">
        <v>2</v>
      </c>
      <c r="B86" s="130" t="s">
        <v>137</v>
      </c>
      <c r="C86" s="117" t="s">
        <v>111</v>
      </c>
      <c r="D86" s="120">
        <v>2</v>
      </c>
      <c r="E86" s="120"/>
      <c r="F86" s="93">
        <v>250</v>
      </c>
      <c r="G86" s="214">
        <f t="shared" ref="G86:G92" si="9">D86*F86/1000</f>
        <v>0.5</v>
      </c>
    </row>
    <row r="87" spans="1:11">
      <c r="A87" s="4">
        <v>3</v>
      </c>
      <c r="B87" s="130" t="s">
        <v>561</v>
      </c>
      <c r="C87" s="117" t="s">
        <v>111</v>
      </c>
      <c r="D87" s="120">
        <v>220</v>
      </c>
      <c r="E87" s="120">
        <v>200</v>
      </c>
      <c r="F87" s="93">
        <v>40</v>
      </c>
      <c r="G87" s="214">
        <f t="shared" si="9"/>
        <v>8.8000000000000007</v>
      </c>
    </row>
    <row r="88" spans="1:11">
      <c r="A88" s="4">
        <v>4</v>
      </c>
      <c r="B88" s="130" t="s">
        <v>214</v>
      </c>
      <c r="C88" s="117" t="s">
        <v>111</v>
      </c>
      <c r="D88" s="120">
        <v>20</v>
      </c>
      <c r="E88" s="120"/>
      <c r="F88" s="93">
        <v>180</v>
      </c>
      <c r="G88" s="214">
        <f t="shared" si="9"/>
        <v>3.6</v>
      </c>
    </row>
    <row r="89" spans="1:11">
      <c r="A89" s="4">
        <v>5</v>
      </c>
      <c r="B89" s="130" t="s">
        <v>117</v>
      </c>
      <c r="C89" s="117" t="s">
        <v>111</v>
      </c>
      <c r="D89" s="120">
        <v>2</v>
      </c>
      <c r="E89" s="120"/>
      <c r="F89" s="93">
        <v>30</v>
      </c>
      <c r="G89" s="214">
        <f t="shared" si="9"/>
        <v>0.06</v>
      </c>
    </row>
    <row r="90" spans="1:11">
      <c r="A90" s="4">
        <v>6</v>
      </c>
      <c r="B90" s="130" t="s">
        <v>264</v>
      </c>
      <c r="C90" s="117" t="s">
        <v>111</v>
      </c>
      <c r="D90" s="120">
        <v>50</v>
      </c>
      <c r="E90" s="120">
        <v>30</v>
      </c>
      <c r="F90" s="93">
        <v>30</v>
      </c>
      <c r="G90" s="214">
        <f t="shared" si="9"/>
        <v>1.5</v>
      </c>
    </row>
    <row r="91" spans="1:11">
      <c r="A91" s="4">
        <v>7</v>
      </c>
      <c r="B91" s="130" t="s">
        <v>229</v>
      </c>
      <c r="C91" s="117" t="s">
        <v>111</v>
      </c>
      <c r="D91" s="120">
        <v>2</v>
      </c>
      <c r="E91" s="120"/>
      <c r="F91" s="93">
        <v>250</v>
      </c>
      <c r="G91" s="214">
        <f t="shared" si="9"/>
        <v>0.5</v>
      </c>
    </row>
    <row r="92" spans="1:11">
      <c r="A92" s="4">
        <v>8</v>
      </c>
      <c r="B92" s="129" t="s">
        <v>371</v>
      </c>
      <c r="C92" s="117" t="s">
        <v>111</v>
      </c>
      <c r="D92" s="118">
        <v>2</v>
      </c>
      <c r="E92" s="118"/>
      <c r="F92" s="93">
        <v>1150</v>
      </c>
      <c r="G92" s="214">
        <f t="shared" si="9"/>
        <v>2.2999999999999998</v>
      </c>
    </row>
    <row r="93" spans="1:11">
      <c r="A93"/>
      <c r="B93"/>
      <c r="C93"/>
      <c r="D93">
        <f>SUM(D85:D92)</f>
        <v>598</v>
      </c>
      <c r="E93">
        <f>SUM(E85:E92)</f>
        <v>450</v>
      </c>
      <c r="G93" s="215">
        <f>SUM(G85:G92)</f>
        <v>242.26000000000002</v>
      </c>
    </row>
    <row r="94" spans="1:11">
      <c r="A94"/>
      <c r="B94"/>
      <c r="C94"/>
      <c r="D94"/>
      <c r="E94"/>
      <c r="F94" s="245" t="s">
        <v>28</v>
      </c>
      <c r="G94" s="246">
        <f>G93*3</f>
        <v>726.78000000000009</v>
      </c>
    </row>
    <row r="95" spans="1:11" ht="14.45" customHeight="1">
      <c r="A95"/>
      <c r="B95"/>
      <c r="C95"/>
      <c r="D95"/>
      <c r="E95"/>
      <c r="F95" s="247" t="s">
        <v>14</v>
      </c>
      <c r="G95" s="248">
        <v>650</v>
      </c>
    </row>
    <row r="96" spans="1:11" ht="15.75">
      <c r="B96" s="136" t="s">
        <v>398</v>
      </c>
      <c r="C96" s="101"/>
      <c r="D96" s="101"/>
      <c r="E96" s="101"/>
    </row>
    <row r="97" spans="1:7" ht="36">
      <c r="A97" s="4" t="s">
        <v>12</v>
      </c>
      <c r="B97" s="22" t="s">
        <v>0</v>
      </c>
      <c r="C97" s="4" t="s">
        <v>1</v>
      </c>
      <c r="D97" s="4" t="s">
        <v>2</v>
      </c>
      <c r="E97" s="4" t="s">
        <v>3</v>
      </c>
      <c r="F97" s="5" t="s">
        <v>39</v>
      </c>
      <c r="G97" s="30" t="s">
        <v>15</v>
      </c>
    </row>
    <row r="98" spans="1:7">
      <c r="A98" s="86">
        <v>1</v>
      </c>
      <c r="B98" s="130" t="s">
        <v>399</v>
      </c>
      <c r="C98" s="117" t="s">
        <v>111</v>
      </c>
      <c r="D98" s="120">
        <v>150</v>
      </c>
      <c r="E98" s="4">
        <v>120</v>
      </c>
      <c r="F98" s="53">
        <v>650</v>
      </c>
      <c r="G98" s="174">
        <f>D98*F98/1000</f>
        <v>97.5</v>
      </c>
    </row>
    <row r="99" spans="1:7">
      <c r="A99" s="86">
        <v>2</v>
      </c>
      <c r="B99" s="130" t="s">
        <v>264</v>
      </c>
      <c r="C99" s="117" t="s">
        <v>111</v>
      </c>
      <c r="D99" s="120">
        <v>30</v>
      </c>
      <c r="E99" s="4">
        <v>20</v>
      </c>
      <c r="F99" s="53">
        <v>30</v>
      </c>
      <c r="G99" s="174">
        <f t="shared" ref="G99:G108" si="10">D99*F99/1000</f>
        <v>0.9</v>
      </c>
    </row>
    <row r="100" spans="1:7">
      <c r="A100" s="86">
        <v>3</v>
      </c>
      <c r="B100" s="130" t="s">
        <v>390</v>
      </c>
      <c r="C100" s="117" t="s">
        <v>111</v>
      </c>
      <c r="D100" s="120">
        <v>20</v>
      </c>
      <c r="E100" s="4">
        <v>10</v>
      </c>
      <c r="F100" s="53">
        <v>210</v>
      </c>
      <c r="G100" s="174">
        <f t="shared" si="10"/>
        <v>4.2</v>
      </c>
    </row>
    <row r="101" spans="1:7">
      <c r="A101" s="86">
        <v>4</v>
      </c>
      <c r="B101" s="130" t="s">
        <v>400</v>
      </c>
      <c r="C101" s="117" t="s">
        <v>111</v>
      </c>
      <c r="D101" s="120">
        <v>20</v>
      </c>
      <c r="E101" s="4">
        <v>20</v>
      </c>
      <c r="F101" s="53">
        <v>701</v>
      </c>
      <c r="G101" s="174">
        <f t="shared" si="10"/>
        <v>14.02</v>
      </c>
    </row>
    <row r="102" spans="1:7">
      <c r="A102" s="86">
        <v>5</v>
      </c>
      <c r="B102" s="130" t="s">
        <v>117</v>
      </c>
      <c r="C102" s="117" t="s">
        <v>111</v>
      </c>
      <c r="D102" s="120">
        <v>2</v>
      </c>
      <c r="E102" s="4"/>
      <c r="F102" s="53">
        <v>30</v>
      </c>
      <c r="G102" s="174">
        <f t="shared" si="10"/>
        <v>0.06</v>
      </c>
    </row>
    <row r="103" spans="1:7">
      <c r="A103" s="86">
        <v>6</v>
      </c>
      <c r="B103" s="130" t="s">
        <v>137</v>
      </c>
      <c r="C103" s="117" t="s">
        <v>111</v>
      </c>
      <c r="D103" s="120">
        <v>1</v>
      </c>
      <c r="E103" s="4"/>
      <c r="F103" s="53">
        <v>250</v>
      </c>
      <c r="G103" s="174">
        <f t="shared" si="10"/>
        <v>0.25</v>
      </c>
    </row>
    <row r="104" spans="1:7">
      <c r="A104" s="86">
        <v>7</v>
      </c>
      <c r="B104" s="130" t="s">
        <v>402</v>
      </c>
      <c r="C104" s="117" t="s">
        <v>111</v>
      </c>
      <c r="D104" s="120">
        <v>150</v>
      </c>
      <c r="E104" s="4">
        <v>150</v>
      </c>
      <c r="F104" s="53">
        <v>40</v>
      </c>
      <c r="G104" s="174">
        <f t="shared" si="10"/>
        <v>6</v>
      </c>
    </row>
    <row r="105" spans="1:7">
      <c r="A105" s="86">
        <v>8</v>
      </c>
      <c r="B105" s="130" t="s">
        <v>401</v>
      </c>
      <c r="C105" s="117" t="s">
        <v>111</v>
      </c>
      <c r="D105" s="120">
        <v>10</v>
      </c>
      <c r="E105" s="4">
        <v>10</v>
      </c>
      <c r="F105" s="53">
        <v>318</v>
      </c>
      <c r="G105" s="174">
        <f t="shared" si="10"/>
        <v>3.18</v>
      </c>
    </row>
    <row r="106" spans="1:7">
      <c r="A106" s="86">
        <v>9</v>
      </c>
      <c r="B106" s="130" t="s">
        <v>391</v>
      </c>
      <c r="C106" s="117" t="s">
        <v>111</v>
      </c>
      <c r="D106" s="120">
        <v>10</v>
      </c>
      <c r="E106" s="4">
        <v>10</v>
      </c>
      <c r="F106" s="53">
        <v>450</v>
      </c>
      <c r="G106" s="174">
        <f t="shared" si="10"/>
        <v>4.5</v>
      </c>
    </row>
    <row r="107" spans="1:7">
      <c r="A107" s="86">
        <v>10</v>
      </c>
      <c r="B107" s="130" t="s">
        <v>229</v>
      </c>
      <c r="C107" s="117" t="s">
        <v>111</v>
      </c>
      <c r="D107" s="120">
        <v>2</v>
      </c>
      <c r="E107" s="4"/>
      <c r="F107" s="53">
        <v>308</v>
      </c>
      <c r="G107" s="174">
        <f t="shared" si="10"/>
        <v>0.61599999999999999</v>
      </c>
    </row>
    <row r="108" spans="1:7">
      <c r="A108" s="86">
        <v>11</v>
      </c>
      <c r="B108" s="130" t="s">
        <v>214</v>
      </c>
      <c r="C108" s="117" t="s">
        <v>111</v>
      </c>
      <c r="D108" s="120">
        <v>10</v>
      </c>
      <c r="E108" s="4">
        <v>10</v>
      </c>
      <c r="F108" s="53">
        <v>150</v>
      </c>
      <c r="G108" s="174">
        <f t="shared" si="10"/>
        <v>1.5</v>
      </c>
    </row>
    <row r="109" spans="1:7">
      <c r="A109"/>
      <c r="B109"/>
      <c r="C109"/>
      <c r="D109">
        <f>SUM(D98:D108)</f>
        <v>405</v>
      </c>
      <c r="E109">
        <f>SUM(E98:E108)</f>
        <v>350</v>
      </c>
      <c r="G109" s="215">
        <f>SUM(G98:G108)</f>
        <v>132.72600000000003</v>
      </c>
    </row>
    <row r="110" spans="1:7">
      <c r="A110"/>
      <c r="B110"/>
      <c r="C110"/>
      <c r="D110"/>
      <c r="E110"/>
      <c r="F110" s="79" t="s">
        <v>28</v>
      </c>
      <c r="G110" s="12">
        <f>G109*3</f>
        <v>398.17800000000011</v>
      </c>
    </row>
    <row r="111" spans="1:7" ht="24">
      <c r="A111"/>
      <c r="B111"/>
      <c r="C111"/>
      <c r="D111"/>
      <c r="E111"/>
      <c r="F111" s="80" t="s">
        <v>14</v>
      </c>
      <c r="G111" s="13">
        <v>420</v>
      </c>
    </row>
    <row r="112" spans="1:7">
      <c r="A112" s="87"/>
      <c r="B112" s="216" t="s">
        <v>403</v>
      </c>
      <c r="C112" s="123"/>
      <c r="D112" s="123"/>
      <c r="E112" s="101"/>
      <c r="F112" s="111"/>
    </row>
    <row r="113" spans="1:11" ht="36">
      <c r="A113" s="4" t="s">
        <v>12</v>
      </c>
      <c r="B113" s="22" t="s">
        <v>0</v>
      </c>
      <c r="C113" s="4" t="s">
        <v>1</v>
      </c>
      <c r="D113" s="4" t="s">
        <v>2</v>
      </c>
      <c r="E113" s="4" t="s">
        <v>3</v>
      </c>
      <c r="F113" s="5" t="s">
        <v>39</v>
      </c>
      <c r="G113" s="30" t="s">
        <v>15</v>
      </c>
    </row>
    <row r="114" spans="1:11">
      <c r="A114" s="86">
        <v>1</v>
      </c>
      <c r="B114" s="130" t="s">
        <v>564</v>
      </c>
      <c r="C114" s="117" t="s">
        <v>111</v>
      </c>
      <c r="D114" s="120">
        <v>150</v>
      </c>
      <c r="E114" s="120">
        <v>150</v>
      </c>
      <c r="F114" s="53">
        <v>281</v>
      </c>
      <c r="G114" s="262">
        <f>D114*F114/1000</f>
        <v>42.15</v>
      </c>
      <c r="H114" s="252"/>
      <c r="I114" s="252"/>
      <c r="J114" s="252"/>
      <c r="K114" s="252"/>
    </row>
    <row r="115" spans="1:11">
      <c r="A115" s="86">
        <v>2</v>
      </c>
      <c r="B115" s="130" t="s">
        <v>383</v>
      </c>
      <c r="C115" s="117" t="s">
        <v>111</v>
      </c>
      <c r="D115" s="120">
        <v>20</v>
      </c>
      <c r="E115" s="120"/>
      <c r="F115" s="53">
        <v>292</v>
      </c>
      <c r="G115" s="174">
        <f t="shared" ref="G115:G123" si="11">D115*F115/1000</f>
        <v>5.84</v>
      </c>
    </row>
    <row r="116" spans="1:11">
      <c r="A116" s="86">
        <v>3</v>
      </c>
      <c r="B116" s="130" t="s">
        <v>214</v>
      </c>
      <c r="C116" s="117" t="s">
        <v>111</v>
      </c>
      <c r="D116" s="120">
        <v>20</v>
      </c>
      <c r="E116" s="120"/>
      <c r="F116" s="53">
        <v>150</v>
      </c>
      <c r="G116" s="174">
        <f t="shared" si="11"/>
        <v>3</v>
      </c>
    </row>
    <row r="117" spans="1:11">
      <c r="A117" s="86">
        <v>4</v>
      </c>
      <c r="B117" s="130" t="s">
        <v>285</v>
      </c>
      <c r="C117" s="117" t="s">
        <v>111</v>
      </c>
      <c r="D117" s="120">
        <v>20</v>
      </c>
      <c r="E117" s="120"/>
      <c r="F117" s="53">
        <v>850</v>
      </c>
      <c r="G117" s="174">
        <f t="shared" si="11"/>
        <v>17</v>
      </c>
    </row>
    <row r="118" spans="1:11">
      <c r="A118" s="86">
        <v>5</v>
      </c>
      <c r="B118" s="130" t="s">
        <v>229</v>
      </c>
      <c r="C118" s="117" t="s">
        <v>111</v>
      </c>
      <c r="D118" s="120">
        <v>2</v>
      </c>
      <c r="E118" s="120"/>
      <c r="F118" s="53">
        <v>242</v>
      </c>
      <c r="G118" s="174">
        <f t="shared" si="11"/>
        <v>0.48399999999999999</v>
      </c>
    </row>
    <row r="119" spans="1:11">
      <c r="A119" s="86">
        <v>6</v>
      </c>
      <c r="B119" s="130" t="s">
        <v>384</v>
      </c>
      <c r="C119" s="117" t="s">
        <v>111</v>
      </c>
      <c r="D119" s="120">
        <v>20</v>
      </c>
      <c r="E119" s="120"/>
      <c r="F119" s="53">
        <v>300</v>
      </c>
      <c r="G119" s="174">
        <f t="shared" si="11"/>
        <v>6</v>
      </c>
    </row>
    <row r="120" spans="1:11">
      <c r="A120" s="86">
        <v>7</v>
      </c>
      <c r="B120" s="130" t="s">
        <v>318</v>
      </c>
      <c r="C120" s="117" t="s">
        <v>111</v>
      </c>
      <c r="D120" s="120">
        <v>50</v>
      </c>
      <c r="E120" s="120">
        <v>50</v>
      </c>
      <c r="F120" s="53">
        <v>440</v>
      </c>
      <c r="G120" s="174">
        <f t="shared" si="11"/>
        <v>22</v>
      </c>
    </row>
    <row r="121" spans="1:11">
      <c r="A121" s="86">
        <v>8</v>
      </c>
      <c r="B121" s="130" t="s">
        <v>300</v>
      </c>
      <c r="C121" s="117" t="s">
        <v>111</v>
      </c>
      <c r="D121" s="120">
        <v>15</v>
      </c>
      <c r="E121" s="120"/>
      <c r="F121" s="53">
        <v>300</v>
      </c>
      <c r="G121" s="174">
        <f t="shared" si="11"/>
        <v>4.5</v>
      </c>
    </row>
    <row r="122" spans="1:11">
      <c r="A122" s="86">
        <v>9</v>
      </c>
      <c r="B122" s="130" t="s">
        <v>385</v>
      </c>
      <c r="C122" s="117" t="s">
        <v>111</v>
      </c>
      <c r="D122" s="120">
        <v>2</v>
      </c>
      <c r="E122" s="120"/>
      <c r="F122" s="53">
        <v>283</v>
      </c>
      <c r="G122" s="174">
        <f t="shared" si="11"/>
        <v>0.56599999999999995</v>
      </c>
    </row>
    <row r="123" spans="1:11">
      <c r="A123" s="86">
        <v>10</v>
      </c>
      <c r="B123" s="130" t="s">
        <v>303</v>
      </c>
      <c r="C123" s="117" t="s">
        <v>111</v>
      </c>
      <c r="D123" s="120">
        <v>150</v>
      </c>
      <c r="E123" s="120">
        <v>150</v>
      </c>
      <c r="F123" s="53">
        <v>84</v>
      </c>
      <c r="G123" s="174">
        <f t="shared" si="11"/>
        <v>12.6</v>
      </c>
    </row>
    <row r="124" spans="1:11">
      <c r="A124"/>
      <c r="B124"/>
      <c r="C124"/>
      <c r="D124">
        <f>SUM(D114:D123)</f>
        <v>449</v>
      </c>
      <c r="E124">
        <f>SUM(E114:E123)</f>
        <v>350</v>
      </c>
      <c r="G124" s="215">
        <f>SUM(G114:G123)</f>
        <v>114.13999999999999</v>
      </c>
    </row>
    <row r="125" spans="1:11" ht="15" customHeight="1">
      <c r="A125" s="55"/>
      <c r="B125" s="55"/>
      <c r="D125"/>
      <c r="E125"/>
      <c r="F125" s="79" t="s">
        <v>28</v>
      </c>
      <c r="G125" s="12">
        <f>G124*3</f>
        <v>342.41999999999996</v>
      </c>
    </row>
    <row r="126" spans="1:11" ht="15" customHeight="1">
      <c r="A126" s="55"/>
      <c r="B126" s="55"/>
      <c r="D126"/>
      <c r="E126"/>
      <c r="F126" s="80" t="s">
        <v>14</v>
      </c>
      <c r="G126" s="13">
        <v>420</v>
      </c>
    </row>
    <row r="127" spans="1:11">
      <c r="A127" s="87"/>
      <c r="B127" s="216" t="s">
        <v>386</v>
      </c>
      <c r="C127" s="87"/>
      <c r="D127" s="124"/>
      <c r="E127" s="124"/>
      <c r="F127" s="100"/>
    </row>
    <row r="128" spans="1:11" ht="36">
      <c r="A128" s="4" t="s">
        <v>12</v>
      </c>
      <c r="B128" s="22" t="s">
        <v>0</v>
      </c>
      <c r="C128" s="4" t="s">
        <v>1</v>
      </c>
      <c r="D128" s="4" t="s">
        <v>2</v>
      </c>
      <c r="E128" s="4" t="s">
        <v>3</v>
      </c>
      <c r="F128" s="5" t="s">
        <v>39</v>
      </c>
      <c r="G128" s="30" t="s">
        <v>15</v>
      </c>
    </row>
    <row r="129" spans="1:7">
      <c r="A129" s="86">
        <v>1</v>
      </c>
      <c r="B129" s="130" t="s">
        <v>254</v>
      </c>
      <c r="C129" s="117" t="s">
        <v>111</v>
      </c>
      <c r="D129" s="120">
        <v>60</v>
      </c>
      <c r="E129" s="120">
        <v>50</v>
      </c>
      <c r="F129" s="53">
        <v>300</v>
      </c>
      <c r="G129" s="174">
        <f>D129*F129/1000</f>
        <v>18</v>
      </c>
    </row>
    <row r="130" spans="1:7">
      <c r="A130" s="86">
        <v>2</v>
      </c>
      <c r="B130" s="130" t="s">
        <v>387</v>
      </c>
      <c r="C130" s="117" t="s">
        <v>111</v>
      </c>
      <c r="D130" s="120">
        <v>50</v>
      </c>
      <c r="E130" s="120">
        <v>40</v>
      </c>
      <c r="F130" s="53">
        <v>294</v>
      </c>
      <c r="G130" s="174">
        <f t="shared" ref="G130:G139" si="12">D130*F130/1000</f>
        <v>14.7</v>
      </c>
    </row>
    <row r="131" spans="1:7">
      <c r="A131" s="86">
        <v>3</v>
      </c>
      <c r="B131" s="130" t="s">
        <v>264</v>
      </c>
      <c r="C131" s="117" t="s">
        <v>111</v>
      </c>
      <c r="D131" s="120">
        <v>30</v>
      </c>
      <c r="E131" s="120">
        <v>25</v>
      </c>
      <c r="F131" s="53">
        <v>20</v>
      </c>
      <c r="G131" s="174">
        <f t="shared" si="12"/>
        <v>0.6</v>
      </c>
    </row>
    <row r="132" spans="1:7">
      <c r="A132" s="86">
        <v>4</v>
      </c>
      <c r="B132" s="130" t="s">
        <v>170</v>
      </c>
      <c r="C132" s="117" t="s">
        <v>111</v>
      </c>
      <c r="D132" s="120">
        <v>30</v>
      </c>
      <c r="E132" s="120">
        <v>30</v>
      </c>
      <c r="F132" s="53">
        <v>230</v>
      </c>
      <c r="G132" s="174">
        <f t="shared" si="12"/>
        <v>6.9</v>
      </c>
    </row>
    <row r="133" spans="1:7">
      <c r="A133" s="86">
        <v>5</v>
      </c>
      <c r="B133" s="130" t="s">
        <v>388</v>
      </c>
      <c r="C133" s="117" t="s">
        <v>111</v>
      </c>
      <c r="D133" s="120">
        <v>60</v>
      </c>
      <c r="E133" s="120">
        <v>45</v>
      </c>
      <c r="F133" s="53">
        <v>305</v>
      </c>
      <c r="G133" s="174">
        <f t="shared" si="12"/>
        <v>18.3</v>
      </c>
    </row>
    <row r="134" spans="1:7">
      <c r="A134" s="86">
        <v>6</v>
      </c>
      <c r="B134" s="130" t="s">
        <v>214</v>
      </c>
      <c r="C134" s="117" t="s">
        <v>111</v>
      </c>
      <c r="D134" s="120">
        <v>30</v>
      </c>
      <c r="E134" s="120"/>
      <c r="F134" s="53">
        <v>150</v>
      </c>
      <c r="G134" s="174">
        <f t="shared" si="12"/>
        <v>4.5</v>
      </c>
    </row>
    <row r="135" spans="1:7">
      <c r="A135" s="86">
        <v>7</v>
      </c>
      <c r="B135" s="130" t="s">
        <v>291</v>
      </c>
      <c r="C135" s="117" t="s">
        <v>111</v>
      </c>
      <c r="D135" s="120">
        <v>60</v>
      </c>
      <c r="E135" s="120">
        <v>50</v>
      </c>
      <c r="F135" s="53">
        <v>93</v>
      </c>
      <c r="G135" s="174">
        <f t="shared" si="12"/>
        <v>5.58</v>
      </c>
    </row>
    <row r="136" spans="1:7">
      <c r="A136" s="86">
        <v>8</v>
      </c>
      <c r="B136" s="130" t="s">
        <v>117</v>
      </c>
      <c r="C136" s="117" t="s">
        <v>111</v>
      </c>
      <c r="D136" s="120">
        <v>2</v>
      </c>
      <c r="E136" s="120"/>
      <c r="F136" s="53">
        <v>20</v>
      </c>
      <c r="G136" s="174">
        <f t="shared" si="12"/>
        <v>0.04</v>
      </c>
    </row>
    <row r="137" spans="1:7">
      <c r="A137" s="86">
        <v>9</v>
      </c>
      <c r="B137" s="130" t="s">
        <v>137</v>
      </c>
      <c r="C137" s="117" t="s">
        <v>111</v>
      </c>
      <c r="D137" s="120">
        <v>2</v>
      </c>
      <c r="E137" s="120"/>
      <c r="F137" s="53">
        <v>1408</v>
      </c>
      <c r="G137" s="174">
        <f t="shared" si="12"/>
        <v>2.8159999999999998</v>
      </c>
    </row>
    <row r="138" spans="1:7">
      <c r="A138" s="86">
        <v>10</v>
      </c>
      <c r="B138" s="130" t="s">
        <v>229</v>
      </c>
      <c r="C138" s="117" t="s">
        <v>111</v>
      </c>
      <c r="D138" s="120">
        <v>2</v>
      </c>
      <c r="E138" s="120">
        <v>2</v>
      </c>
      <c r="F138" s="53">
        <v>228</v>
      </c>
      <c r="G138" s="174">
        <f t="shared" si="12"/>
        <v>0.45600000000000002</v>
      </c>
    </row>
    <row r="139" spans="1:7">
      <c r="A139" s="86">
        <v>11</v>
      </c>
      <c r="B139" s="130" t="s">
        <v>355</v>
      </c>
      <c r="C139" s="117" t="s">
        <v>111</v>
      </c>
      <c r="D139" s="120">
        <v>10</v>
      </c>
      <c r="E139" s="120">
        <v>8</v>
      </c>
      <c r="F139" s="53">
        <v>2107</v>
      </c>
      <c r="G139" s="174">
        <f t="shared" si="12"/>
        <v>21.07</v>
      </c>
    </row>
    <row r="140" spans="1:7">
      <c r="A140"/>
      <c r="B140"/>
      <c r="C140"/>
      <c r="D140">
        <f>SUM(D129:D139)</f>
        <v>336</v>
      </c>
      <c r="E140">
        <f t="shared" ref="E140" si="13">SUM(E129:E139)</f>
        <v>250</v>
      </c>
      <c r="G140" s="215">
        <f t="shared" ref="G140" si="14">SUM(G129:G139)</f>
        <v>92.962000000000018</v>
      </c>
    </row>
    <row r="141" spans="1:7">
      <c r="D141"/>
      <c r="E141"/>
      <c r="F141" s="80" t="s">
        <v>167</v>
      </c>
      <c r="G141" s="264">
        <f>G140*4</f>
        <v>371.84800000000007</v>
      </c>
    </row>
    <row r="142" spans="1:7" ht="24">
      <c r="D142"/>
      <c r="E142"/>
      <c r="F142" s="79" t="s">
        <v>14</v>
      </c>
      <c r="G142" s="11">
        <v>380</v>
      </c>
    </row>
    <row r="143" spans="1:7">
      <c r="B143" s="135" t="s">
        <v>405</v>
      </c>
      <c r="C143" s="84"/>
      <c r="D143" s="113"/>
      <c r="E143" s="113"/>
      <c r="F143" s="91"/>
    </row>
    <row r="144" spans="1:7" ht="36">
      <c r="A144" s="4" t="s">
        <v>12</v>
      </c>
      <c r="B144" s="22" t="s">
        <v>0</v>
      </c>
      <c r="C144" s="4" t="s">
        <v>1</v>
      </c>
      <c r="D144" s="4" t="s">
        <v>2</v>
      </c>
      <c r="E144" s="4" t="s">
        <v>3</v>
      </c>
      <c r="F144" s="5" t="s">
        <v>39</v>
      </c>
      <c r="G144" s="30" t="s">
        <v>15</v>
      </c>
    </row>
    <row r="145" spans="1:12">
      <c r="A145" s="4">
        <v>1</v>
      </c>
      <c r="B145" s="126" t="s">
        <v>366</v>
      </c>
      <c r="C145" s="117" t="s">
        <v>111</v>
      </c>
      <c r="D145" s="116">
        <v>200</v>
      </c>
      <c r="E145" s="118">
        <v>160</v>
      </c>
      <c r="F145" s="93">
        <v>1200</v>
      </c>
      <c r="G145" s="214">
        <f>D145*F145/1000</f>
        <v>240</v>
      </c>
    </row>
    <row r="146" spans="1:12">
      <c r="A146" s="4">
        <v>2</v>
      </c>
      <c r="B146" s="126" t="s">
        <v>406</v>
      </c>
      <c r="C146" s="117" t="s">
        <v>111</v>
      </c>
      <c r="D146" s="116">
        <v>1</v>
      </c>
      <c r="E146" s="118"/>
      <c r="F146" s="93">
        <v>250</v>
      </c>
      <c r="G146" s="214">
        <f t="shared" ref="G146:G155" si="15">D146*F146/1000</f>
        <v>0.25</v>
      </c>
    </row>
    <row r="147" spans="1:12">
      <c r="A147" s="4">
        <v>3</v>
      </c>
      <c r="B147" s="126" t="s">
        <v>117</v>
      </c>
      <c r="C147" s="117" t="s">
        <v>111</v>
      </c>
      <c r="D147" s="116">
        <v>2</v>
      </c>
      <c r="E147" s="118"/>
      <c r="F147" s="93">
        <v>30</v>
      </c>
      <c r="G147" s="214">
        <f t="shared" si="15"/>
        <v>0.06</v>
      </c>
    </row>
    <row r="148" spans="1:12">
      <c r="A148" s="4">
        <v>4</v>
      </c>
      <c r="B148" s="126" t="s">
        <v>214</v>
      </c>
      <c r="C148" s="117" t="s">
        <v>111</v>
      </c>
      <c r="D148" s="116">
        <v>10</v>
      </c>
      <c r="E148" s="118"/>
      <c r="F148" s="93">
        <v>150</v>
      </c>
      <c r="G148" s="214">
        <f t="shared" si="15"/>
        <v>1.5</v>
      </c>
    </row>
    <row r="149" spans="1:12">
      <c r="A149" s="4">
        <v>5</v>
      </c>
      <c r="B149" s="126" t="s">
        <v>364</v>
      </c>
      <c r="C149" s="117" t="s">
        <v>111</v>
      </c>
      <c r="D149" s="116">
        <v>1</v>
      </c>
      <c r="E149" s="118"/>
      <c r="F149" s="93">
        <v>1321</v>
      </c>
      <c r="G149" s="214">
        <f t="shared" si="15"/>
        <v>1.321</v>
      </c>
    </row>
    <row r="150" spans="1:12">
      <c r="A150" s="4">
        <v>6</v>
      </c>
      <c r="B150" s="126" t="s">
        <v>144</v>
      </c>
      <c r="C150" s="117" t="s">
        <v>111</v>
      </c>
      <c r="D150" s="116">
        <v>30</v>
      </c>
      <c r="E150" s="118">
        <v>25</v>
      </c>
      <c r="F150" s="93">
        <v>150</v>
      </c>
      <c r="G150" s="214">
        <f t="shared" si="15"/>
        <v>4.5</v>
      </c>
    </row>
    <row r="151" spans="1:12">
      <c r="A151" s="4">
        <v>7</v>
      </c>
      <c r="B151" s="126" t="s">
        <v>145</v>
      </c>
      <c r="C151" s="117" t="s">
        <v>111</v>
      </c>
      <c r="D151" s="116">
        <v>5</v>
      </c>
      <c r="E151" s="118"/>
      <c r="F151" s="93">
        <v>150</v>
      </c>
      <c r="G151" s="214">
        <f t="shared" si="15"/>
        <v>0.75</v>
      </c>
    </row>
    <row r="152" spans="1:12">
      <c r="A152" s="4">
        <v>8</v>
      </c>
      <c r="B152" s="126" t="s">
        <v>238</v>
      </c>
      <c r="C152" s="117" t="s">
        <v>111</v>
      </c>
      <c r="D152" s="116">
        <v>20</v>
      </c>
      <c r="E152" s="118">
        <v>10</v>
      </c>
      <c r="F152" s="93">
        <v>850</v>
      </c>
      <c r="G152" s="263">
        <f>D152*F152/1000</f>
        <v>17</v>
      </c>
      <c r="H152" s="252"/>
      <c r="I152" s="252"/>
      <c r="J152" s="252"/>
      <c r="K152" s="252"/>
      <c r="L152" s="252"/>
    </row>
    <row r="153" spans="1:12">
      <c r="A153" s="4">
        <v>9</v>
      </c>
      <c r="B153" s="126" t="s">
        <v>368</v>
      </c>
      <c r="C153" s="117" t="s">
        <v>111</v>
      </c>
      <c r="D153" s="116">
        <v>15</v>
      </c>
      <c r="E153" s="118">
        <v>15</v>
      </c>
      <c r="F153" s="93">
        <v>300</v>
      </c>
      <c r="G153" s="214">
        <f t="shared" si="15"/>
        <v>4.5</v>
      </c>
    </row>
    <row r="154" spans="1:12">
      <c r="A154" s="4">
        <v>10</v>
      </c>
      <c r="B154" s="126" t="s">
        <v>404</v>
      </c>
      <c r="C154" s="117" t="s">
        <v>111</v>
      </c>
      <c r="D154" s="116">
        <v>5</v>
      </c>
      <c r="E154" s="118"/>
      <c r="F154" s="93">
        <v>496</v>
      </c>
      <c r="G154" s="214">
        <f t="shared" si="15"/>
        <v>2.48</v>
      </c>
    </row>
    <row r="155" spans="1:12">
      <c r="A155" s="4">
        <v>11</v>
      </c>
      <c r="B155" s="126" t="s">
        <v>407</v>
      </c>
      <c r="C155" s="117" t="s">
        <v>111</v>
      </c>
      <c r="D155" s="116">
        <v>20</v>
      </c>
      <c r="E155" s="118"/>
      <c r="F155" s="93">
        <v>1000</v>
      </c>
      <c r="G155" s="214">
        <f t="shared" si="15"/>
        <v>20</v>
      </c>
    </row>
    <row r="156" spans="1:12">
      <c r="A156"/>
      <c r="B156"/>
      <c r="C156"/>
      <c r="D156">
        <f>SUM(D145:D155)</f>
        <v>309</v>
      </c>
      <c r="E156">
        <f>SUM(E145:E155)</f>
        <v>210</v>
      </c>
      <c r="G156" s="215">
        <f>SUM(G145:G155)</f>
        <v>292.36099999999999</v>
      </c>
    </row>
    <row r="157" spans="1:12">
      <c r="A157" s="102"/>
      <c r="B157" s="102"/>
      <c r="D157"/>
      <c r="E157"/>
      <c r="F157" s="79" t="s">
        <v>29</v>
      </c>
      <c r="G157" s="12">
        <f>G156*2.5</f>
        <v>730.90249999999992</v>
      </c>
    </row>
    <row r="158" spans="1:12" ht="24">
      <c r="A158" s="102"/>
      <c r="B158" s="102"/>
      <c r="D158"/>
      <c r="E158"/>
      <c r="F158" s="80" t="s">
        <v>14</v>
      </c>
      <c r="G158" s="13">
        <v>810</v>
      </c>
    </row>
    <row r="159" spans="1:12">
      <c r="B159" s="135" t="s">
        <v>408</v>
      </c>
      <c r="C159" s="84"/>
      <c r="D159" s="113"/>
      <c r="E159" s="113"/>
      <c r="F159" s="91"/>
    </row>
    <row r="160" spans="1:12" ht="36">
      <c r="A160" s="4" t="s">
        <v>12</v>
      </c>
      <c r="B160" s="22" t="s">
        <v>0</v>
      </c>
      <c r="C160" s="4" t="s">
        <v>1</v>
      </c>
      <c r="D160" s="4" t="s">
        <v>2</v>
      </c>
      <c r="E160" s="4" t="s">
        <v>3</v>
      </c>
      <c r="F160" s="5" t="s">
        <v>39</v>
      </c>
      <c r="G160" s="30" t="s">
        <v>15</v>
      </c>
    </row>
    <row r="161" spans="1:7">
      <c r="A161" s="4">
        <v>1</v>
      </c>
      <c r="B161" s="126" t="s">
        <v>213</v>
      </c>
      <c r="C161" s="117" t="s">
        <v>111</v>
      </c>
      <c r="D161" s="116">
        <v>200</v>
      </c>
      <c r="E161" s="118">
        <v>160</v>
      </c>
      <c r="F161" s="93">
        <v>330</v>
      </c>
      <c r="G161" s="214">
        <f>D161*F161/1000</f>
        <v>66</v>
      </c>
    </row>
    <row r="162" spans="1:7">
      <c r="A162" s="4">
        <v>2</v>
      </c>
      <c r="B162" s="126" t="s">
        <v>406</v>
      </c>
      <c r="C162" s="117" t="s">
        <v>111</v>
      </c>
      <c r="D162" s="116">
        <v>1</v>
      </c>
      <c r="E162" s="118"/>
      <c r="F162" s="93">
        <v>250</v>
      </c>
      <c r="G162" s="214">
        <f t="shared" ref="G162:G171" si="16">D162*F162/1000</f>
        <v>0.25</v>
      </c>
    </row>
    <row r="163" spans="1:7">
      <c r="A163" s="4">
        <v>3</v>
      </c>
      <c r="B163" s="126" t="s">
        <v>117</v>
      </c>
      <c r="C163" s="117" t="s">
        <v>111</v>
      </c>
      <c r="D163" s="116">
        <v>2</v>
      </c>
      <c r="E163" s="118"/>
      <c r="F163" s="93">
        <v>30</v>
      </c>
      <c r="G163" s="214">
        <f t="shared" si="16"/>
        <v>0.06</v>
      </c>
    </row>
    <row r="164" spans="1:7">
      <c r="A164" s="4">
        <v>4</v>
      </c>
      <c r="B164" s="126" t="s">
        <v>214</v>
      </c>
      <c r="C164" s="117" t="s">
        <v>111</v>
      </c>
      <c r="D164" s="116">
        <v>10</v>
      </c>
      <c r="E164" s="118"/>
      <c r="F164" s="93">
        <v>150</v>
      </c>
      <c r="G164" s="214">
        <f t="shared" si="16"/>
        <v>1.5</v>
      </c>
    </row>
    <row r="165" spans="1:7">
      <c r="A165" s="4">
        <v>5</v>
      </c>
      <c r="B165" s="126" t="s">
        <v>364</v>
      </c>
      <c r="C165" s="117" t="s">
        <v>111</v>
      </c>
      <c r="D165" s="116">
        <v>1</v>
      </c>
      <c r="E165" s="118"/>
      <c r="F165" s="93">
        <v>1321</v>
      </c>
      <c r="G165" s="214">
        <f t="shared" si="16"/>
        <v>1.321</v>
      </c>
    </row>
    <row r="166" spans="1:7">
      <c r="A166" s="4">
        <v>6</v>
      </c>
      <c r="B166" s="126" t="s">
        <v>170</v>
      </c>
      <c r="C166" s="117" t="s">
        <v>111</v>
      </c>
      <c r="D166" s="116">
        <v>20</v>
      </c>
      <c r="E166" s="118">
        <v>20</v>
      </c>
      <c r="F166" s="93">
        <v>200</v>
      </c>
      <c r="G166" s="214">
        <f t="shared" si="16"/>
        <v>4</v>
      </c>
    </row>
    <row r="167" spans="1:7">
      <c r="A167" s="4">
        <v>7</v>
      </c>
      <c r="B167" s="126" t="s">
        <v>400</v>
      </c>
      <c r="C167" s="117" t="s">
        <v>111</v>
      </c>
      <c r="D167" s="116">
        <v>10</v>
      </c>
      <c r="E167" s="118"/>
      <c r="F167" s="93">
        <v>750</v>
      </c>
      <c r="G167" s="214">
        <f t="shared" si="16"/>
        <v>7.5</v>
      </c>
    </row>
    <row r="168" spans="1:7">
      <c r="A168" s="4">
        <v>8</v>
      </c>
      <c r="B168" s="126" t="s">
        <v>368</v>
      </c>
      <c r="C168" s="117" t="s">
        <v>111</v>
      </c>
      <c r="D168" s="116">
        <v>15</v>
      </c>
      <c r="E168" s="118">
        <v>15</v>
      </c>
      <c r="F168" s="93">
        <v>300</v>
      </c>
      <c r="G168" s="214">
        <f t="shared" si="16"/>
        <v>4.5</v>
      </c>
    </row>
    <row r="169" spans="1:7">
      <c r="A169" s="4">
        <v>9</v>
      </c>
      <c r="B169" s="126" t="s">
        <v>404</v>
      </c>
      <c r="C169" s="117" t="s">
        <v>111</v>
      </c>
      <c r="D169" s="116">
        <v>5</v>
      </c>
      <c r="E169" s="118"/>
      <c r="F169" s="93">
        <v>496</v>
      </c>
      <c r="G169" s="214">
        <f t="shared" si="16"/>
        <v>2.48</v>
      </c>
    </row>
    <row r="170" spans="1:7">
      <c r="A170" s="4">
        <v>10</v>
      </c>
      <c r="B170" s="126" t="s">
        <v>407</v>
      </c>
      <c r="C170" s="117" t="s">
        <v>111</v>
      </c>
      <c r="D170" s="116">
        <v>20</v>
      </c>
      <c r="E170" s="118"/>
      <c r="F170" s="93">
        <v>1650</v>
      </c>
      <c r="G170" s="214">
        <f t="shared" si="16"/>
        <v>33</v>
      </c>
    </row>
    <row r="171" spans="1:7">
      <c r="A171" s="4">
        <v>11</v>
      </c>
      <c r="B171" s="127" t="s">
        <v>409</v>
      </c>
      <c r="C171" s="117" t="s">
        <v>111</v>
      </c>
      <c r="D171" s="116">
        <v>150</v>
      </c>
      <c r="E171" s="118">
        <v>150</v>
      </c>
      <c r="F171" s="93">
        <v>300</v>
      </c>
      <c r="G171" s="214">
        <f t="shared" si="16"/>
        <v>45</v>
      </c>
    </row>
    <row r="172" spans="1:7">
      <c r="A172"/>
      <c r="B172"/>
      <c r="C172"/>
      <c r="D172">
        <f>SUM(D161:D171)</f>
        <v>434</v>
      </c>
      <c r="E172">
        <f>SUM(E161:E171)</f>
        <v>345</v>
      </c>
      <c r="G172" s="215">
        <f>SUM(G161:G171)</f>
        <v>165.61099999999999</v>
      </c>
    </row>
    <row r="173" spans="1:7">
      <c r="C173" s="84"/>
      <c r="D173"/>
      <c r="E173"/>
      <c r="F173" s="79" t="s">
        <v>28</v>
      </c>
      <c r="G173" s="12">
        <f>G172*3</f>
        <v>496.83299999999997</v>
      </c>
    </row>
    <row r="174" spans="1:7" ht="24">
      <c r="C174" s="84"/>
      <c r="D174"/>
      <c r="E174"/>
      <c r="F174" s="80" t="s">
        <v>14</v>
      </c>
      <c r="G174" s="13">
        <v>499</v>
      </c>
    </row>
    <row r="175" spans="1:7">
      <c r="C175" s="84"/>
      <c r="D175" s="84"/>
    </row>
    <row r="176" spans="1:7">
      <c r="C176" s="84"/>
      <c r="D176" s="84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</sheetPr>
  <dimension ref="A1:I117"/>
  <sheetViews>
    <sheetView zoomScaleNormal="100" workbookViewId="0">
      <selection activeCell="H13" sqref="H13"/>
    </sheetView>
  </sheetViews>
  <sheetFormatPr defaultRowHeight="15"/>
  <cols>
    <col min="1" max="1" width="4.85546875" style="84" customWidth="1"/>
    <col min="2" max="2" width="23" customWidth="1"/>
    <col min="4" max="5" width="10.5703125" bestFit="1" customWidth="1"/>
    <col min="6" max="6" width="11.42578125" customWidth="1"/>
    <col min="7" max="7" width="10.28515625" customWidth="1"/>
  </cols>
  <sheetData>
    <row r="1" spans="1:8">
      <c r="C1" s="99"/>
      <c r="D1" s="99"/>
    </row>
    <row r="2" spans="1:8">
      <c r="B2" s="48" t="s">
        <v>342</v>
      </c>
      <c r="C2" s="106"/>
      <c r="D2" s="103"/>
      <c r="G2" s="91"/>
    </row>
    <row r="3" spans="1:8" ht="36">
      <c r="A3" s="4" t="s">
        <v>12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416</v>
      </c>
      <c r="G3" s="5" t="s">
        <v>39</v>
      </c>
      <c r="H3" s="30" t="s">
        <v>15</v>
      </c>
    </row>
    <row r="4" spans="1:8">
      <c r="A4" s="4">
        <v>1</v>
      </c>
      <c r="B4" s="107" t="s">
        <v>281</v>
      </c>
      <c r="C4" s="1" t="s">
        <v>111</v>
      </c>
      <c r="D4" s="108">
        <v>60</v>
      </c>
      <c r="E4" s="64">
        <v>40</v>
      </c>
      <c r="F4" s="1"/>
      <c r="G4" s="93">
        <v>258</v>
      </c>
      <c r="H4" s="94">
        <f t="shared" ref="H4:H12" si="0">D4*G4/1000</f>
        <v>15.48</v>
      </c>
    </row>
    <row r="5" spans="1:8">
      <c r="A5" s="4">
        <v>2</v>
      </c>
      <c r="B5" s="107" t="s">
        <v>343</v>
      </c>
      <c r="C5" s="1" t="s">
        <v>111</v>
      </c>
      <c r="D5" s="108">
        <v>60</v>
      </c>
      <c r="E5" s="64">
        <v>40</v>
      </c>
      <c r="F5" s="1"/>
      <c r="G5" s="93">
        <v>200</v>
      </c>
      <c r="H5" s="94">
        <f t="shared" si="0"/>
        <v>12</v>
      </c>
    </row>
    <row r="6" spans="1:8">
      <c r="A6" s="4">
        <v>3</v>
      </c>
      <c r="B6" s="107" t="s">
        <v>254</v>
      </c>
      <c r="C6" s="1" t="s">
        <v>111</v>
      </c>
      <c r="D6" s="108">
        <v>40</v>
      </c>
      <c r="E6" s="64">
        <v>30</v>
      </c>
      <c r="F6" s="1"/>
      <c r="G6" s="93">
        <v>293</v>
      </c>
      <c r="H6" s="94">
        <f t="shared" si="0"/>
        <v>11.72</v>
      </c>
    </row>
    <row r="7" spans="1:8">
      <c r="A7" s="4">
        <v>4</v>
      </c>
      <c r="B7" s="107" t="s">
        <v>137</v>
      </c>
      <c r="C7" s="1" t="s">
        <v>111</v>
      </c>
      <c r="D7" s="108">
        <v>2</v>
      </c>
      <c r="E7" s="64"/>
      <c r="F7" s="1"/>
      <c r="G7" s="93">
        <v>2150</v>
      </c>
      <c r="H7" s="94">
        <f t="shared" si="0"/>
        <v>4.3</v>
      </c>
    </row>
    <row r="8" spans="1:8">
      <c r="A8" s="4">
        <v>5</v>
      </c>
      <c r="B8" s="107" t="s">
        <v>229</v>
      </c>
      <c r="C8" s="1" t="s">
        <v>111</v>
      </c>
      <c r="D8" s="108">
        <v>2</v>
      </c>
      <c r="E8" s="64"/>
      <c r="F8" s="1"/>
      <c r="G8" s="93">
        <v>492</v>
      </c>
      <c r="H8" s="94">
        <f t="shared" si="0"/>
        <v>0.98399999999999999</v>
      </c>
    </row>
    <row r="9" spans="1:8">
      <c r="A9" s="4">
        <v>6</v>
      </c>
      <c r="B9" s="107" t="s">
        <v>263</v>
      </c>
      <c r="C9" s="1" t="s">
        <v>111</v>
      </c>
      <c r="D9" s="108">
        <v>35</v>
      </c>
      <c r="E9" s="64">
        <v>30</v>
      </c>
      <c r="F9" s="1"/>
      <c r="G9" s="93">
        <v>30</v>
      </c>
      <c r="H9" s="94">
        <f t="shared" si="0"/>
        <v>1.05</v>
      </c>
    </row>
    <row r="10" spans="1:8">
      <c r="A10" s="4">
        <v>7</v>
      </c>
      <c r="B10" s="107" t="s">
        <v>171</v>
      </c>
      <c r="C10" s="1" t="s">
        <v>111</v>
      </c>
      <c r="D10" s="64">
        <v>1</v>
      </c>
      <c r="E10" s="64"/>
      <c r="F10" s="1"/>
      <c r="G10" s="93">
        <v>225</v>
      </c>
      <c r="H10" s="94">
        <f t="shared" si="0"/>
        <v>0.22500000000000001</v>
      </c>
    </row>
    <row r="11" spans="1:8">
      <c r="A11" s="4">
        <v>8</v>
      </c>
      <c r="B11" s="107" t="s">
        <v>117</v>
      </c>
      <c r="C11" s="1" t="s">
        <v>111</v>
      </c>
      <c r="D11" s="64">
        <v>1</v>
      </c>
      <c r="E11" s="64"/>
      <c r="F11" s="1"/>
      <c r="G11" s="93">
        <v>19</v>
      </c>
      <c r="H11" s="94">
        <f t="shared" si="0"/>
        <v>1.9E-2</v>
      </c>
    </row>
    <row r="12" spans="1:8">
      <c r="A12" s="4">
        <v>9</v>
      </c>
      <c r="B12" s="107" t="s">
        <v>285</v>
      </c>
      <c r="C12" s="1" t="s">
        <v>111</v>
      </c>
      <c r="D12" s="64">
        <v>10</v>
      </c>
      <c r="E12" s="64">
        <v>10</v>
      </c>
      <c r="F12" s="1"/>
      <c r="G12" s="93">
        <v>485</v>
      </c>
      <c r="H12" s="94">
        <f t="shared" si="0"/>
        <v>4.8499999999999996</v>
      </c>
    </row>
    <row r="13" spans="1:8">
      <c r="A13" s="352"/>
      <c r="B13" s="352"/>
      <c r="C13" s="1"/>
      <c r="D13" s="105">
        <f>SUM(D4:D12)</f>
        <v>211</v>
      </c>
      <c r="E13" s="105">
        <f>SUM(E4:E12)</f>
        <v>150</v>
      </c>
      <c r="F13" s="1"/>
      <c r="G13" s="95"/>
      <c r="H13" s="97">
        <f>SUM(H4:H12)</f>
        <v>50.628</v>
      </c>
    </row>
    <row r="14" spans="1:8" ht="19.149999999999999" customHeight="1">
      <c r="A14" s="102"/>
      <c r="B14" s="102"/>
      <c r="D14" s="110"/>
      <c r="E14" s="110"/>
      <c r="G14" s="79" t="s">
        <v>28</v>
      </c>
      <c r="H14" s="256">
        <f>H13*3</f>
        <v>151.88400000000001</v>
      </c>
    </row>
    <row r="15" spans="1:8" ht="24">
      <c r="C15" s="99"/>
      <c r="D15" s="99"/>
      <c r="G15" s="80" t="s">
        <v>14</v>
      </c>
      <c r="H15" s="80">
        <v>150</v>
      </c>
    </row>
    <row r="16" spans="1:8">
      <c r="B16" s="48" t="s">
        <v>345</v>
      </c>
      <c r="C16" s="106"/>
      <c r="D16" s="103"/>
      <c r="G16" s="91"/>
    </row>
    <row r="17" spans="1:8" ht="36">
      <c r="A17" s="4" t="s">
        <v>12</v>
      </c>
      <c r="B17" s="4" t="s">
        <v>0</v>
      </c>
      <c r="C17" s="4" t="s">
        <v>1</v>
      </c>
      <c r="D17" s="4" t="s">
        <v>2</v>
      </c>
      <c r="E17" s="4" t="s">
        <v>3</v>
      </c>
      <c r="F17" s="4" t="s">
        <v>416</v>
      </c>
      <c r="G17" s="5" t="s">
        <v>39</v>
      </c>
      <c r="H17" s="30" t="s">
        <v>15</v>
      </c>
    </row>
    <row r="18" spans="1:8">
      <c r="A18" s="4">
        <v>1</v>
      </c>
      <c r="B18" s="107" t="s">
        <v>343</v>
      </c>
      <c r="C18" s="1" t="s">
        <v>111</v>
      </c>
      <c r="D18" s="108">
        <v>250</v>
      </c>
      <c r="E18" s="108">
        <v>200</v>
      </c>
      <c r="F18" s="1">
        <v>150</v>
      </c>
      <c r="G18" s="217">
        <v>103</v>
      </c>
      <c r="H18" s="62">
        <f t="shared" ref="H18:H23" si="1">D18*G18/1000</f>
        <v>25.75</v>
      </c>
    </row>
    <row r="19" spans="1:8">
      <c r="A19" s="4">
        <v>2</v>
      </c>
      <c r="B19" s="107" t="s">
        <v>229</v>
      </c>
      <c r="C19" s="1" t="s">
        <v>111</v>
      </c>
      <c r="D19" s="108">
        <v>2</v>
      </c>
      <c r="E19" s="108">
        <v>2</v>
      </c>
      <c r="F19" s="1"/>
      <c r="G19" s="217">
        <v>492</v>
      </c>
      <c r="H19" s="62">
        <f t="shared" si="1"/>
        <v>0.98399999999999999</v>
      </c>
    </row>
    <row r="20" spans="1:8">
      <c r="A20" s="4">
        <v>3</v>
      </c>
      <c r="B20" s="107" t="s">
        <v>346</v>
      </c>
      <c r="C20" s="1" t="s">
        <v>111</v>
      </c>
      <c r="D20" s="108">
        <v>50</v>
      </c>
      <c r="E20" s="108">
        <v>50</v>
      </c>
      <c r="F20" s="1"/>
      <c r="G20" s="217">
        <v>85</v>
      </c>
      <c r="H20" s="62">
        <f t="shared" si="1"/>
        <v>4.25</v>
      </c>
    </row>
    <row r="21" spans="1:8">
      <c r="A21" s="4">
        <v>4</v>
      </c>
      <c r="B21" s="107" t="s">
        <v>214</v>
      </c>
      <c r="C21" s="1" t="s">
        <v>111</v>
      </c>
      <c r="D21" s="108">
        <v>30</v>
      </c>
      <c r="E21" s="108">
        <v>30</v>
      </c>
      <c r="F21" s="1"/>
      <c r="G21" s="217">
        <v>180</v>
      </c>
      <c r="H21" s="62">
        <f t="shared" si="1"/>
        <v>5.4</v>
      </c>
    </row>
    <row r="22" spans="1:8">
      <c r="A22" s="4">
        <v>5</v>
      </c>
      <c r="B22" s="107" t="s">
        <v>117</v>
      </c>
      <c r="C22" s="1" t="s">
        <v>111</v>
      </c>
      <c r="D22" s="108">
        <v>2</v>
      </c>
      <c r="E22" s="108">
        <v>2</v>
      </c>
      <c r="F22" s="1"/>
      <c r="G22" s="217">
        <v>30</v>
      </c>
      <c r="H22" s="62">
        <f t="shared" si="1"/>
        <v>0.06</v>
      </c>
    </row>
    <row r="23" spans="1:8">
      <c r="A23" s="4">
        <v>6</v>
      </c>
      <c r="B23" s="107" t="s">
        <v>137</v>
      </c>
      <c r="C23" s="1" t="s">
        <v>111</v>
      </c>
      <c r="D23" s="108">
        <v>1</v>
      </c>
      <c r="E23" s="1">
        <v>1</v>
      </c>
      <c r="F23" s="1"/>
      <c r="G23" s="217">
        <v>600</v>
      </c>
      <c r="H23" s="62">
        <f t="shared" si="1"/>
        <v>0.6</v>
      </c>
    </row>
    <row r="24" spans="1:8">
      <c r="A24" s="352" t="s">
        <v>417</v>
      </c>
      <c r="B24" s="352"/>
      <c r="C24" s="46"/>
      <c r="D24" s="218">
        <f>SUM(D18:D23)</f>
        <v>335</v>
      </c>
      <c r="E24" s="218">
        <f>SUM(E18:E23)</f>
        <v>285</v>
      </c>
      <c r="F24" s="46">
        <v>150</v>
      </c>
      <c r="G24" s="95"/>
      <c r="H24" s="105">
        <f>SUM(H18:H23)</f>
        <v>37.044000000000004</v>
      </c>
    </row>
    <row r="25" spans="1:8" ht="16.149999999999999" customHeight="1">
      <c r="A25" s="102"/>
      <c r="B25" s="102"/>
      <c r="C25" s="48"/>
      <c r="D25" s="220"/>
      <c r="E25" s="220"/>
      <c r="F25" s="48"/>
      <c r="G25" s="79" t="s">
        <v>167</v>
      </c>
      <c r="H25" s="256">
        <f>H24*4</f>
        <v>148.17600000000002</v>
      </c>
    </row>
    <row r="26" spans="1:8" ht="24">
      <c r="A26" s="102"/>
      <c r="B26" s="102"/>
      <c r="C26" s="48"/>
      <c r="D26" s="220"/>
      <c r="E26" s="220"/>
      <c r="F26" s="48"/>
      <c r="G26" s="80" t="s">
        <v>14</v>
      </c>
      <c r="H26" s="80">
        <v>150</v>
      </c>
    </row>
    <row r="27" spans="1:8">
      <c r="B27" s="221" t="s">
        <v>347</v>
      </c>
      <c r="C27" s="106"/>
      <c r="D27" s="103"/>
      <c r="G27" s="91"/>
    </row>
    <row r="28" spans="1:8" ht="36">
      <c r="A28" s="4" t="s">
        <v>12</v>
      </c>
      <c r="B28" s="4" t="s">
        <v>0</v>
      </c>
      <c r="C28" s="4" t="s">
        <v>1</v>
      </c>
      <c r="D28" s="4" t="s">
        <v>2</v>
      </c>
      <c r="E28" s="4" t="s">
        <v>3</v>
      </c>
      <c r="F28" s="4" t="s">
        <v>416</v>
      </c>
      <c r="G28" s="5" t="s">
        <v>39</v>
      </c>
      <c r="H28" s="30" t="s">
        <v>15</v>
      </c>
    </row>
    <row r="29" spans="1:8">
      <c r="A29" s="4">
        <v>1</v>
      </c>
      <c r="B29" s="107" t="s">
        <v>279</v>
      </c>
      <c r="C29" s="1" t="s">
        <v>111</v>
      </c>
      <c r="D29" s="108">
        <v>160</v>
      </c>
      <c r="E29" s="64">
        <v>120</v>
      </c>
      <c r="F29" s="1">
        <v>110</v>
      </c>
      <c r="G29" s="217">
        <v>40</v>
      </c>
      <c r="H29" s="214">
        <f>D29*G29/1000</f>
        <v>6.4</v>
      </c>
    </row>
    <row r="30" spans="1:8">
      <c r="A30" s="4">
        <v>2</v>
      </c>
      <c r="B30" s="107" t="s">
        <v>348</v>
      </c>
      <c r="C30" s="1" t="s">
        <v>111</v>
      </c>
      <c r="D30" s="108">
        <v>30</v>
      </c>
      <c r="E30" s="64">
        <v>30</v>
      </c>
      <c r="F30" s="1">
        <v>30</v>
      </c>
      <c r="G30" s="217">
        <v>92</v>
      </c>
      <c r="H30" s="214">
        <f>D30*G30/1000</f>
        <v>2.76</v>
      </c>
    </row>
    <row r="31" spans="1:8">
      <c r="A31" s="4">
        <v>3</v>
      </c>
      <c r="B31" s="107" t="s">
        <v>285</v>
      </c>
      <c r="C31" s="1" t="s">
        <v>111</v>
      </c>
      <c r="D31" s="108">
        <v>10</v>
      </c>
      <c r="E31" s="64">
        <v>10</v>
      </c>
      <c r="F31" s="1">
        <v>10</v>
      </c>
      <c r="G31" s="217">
        <v>485</v>
      </c>
      <c r="H31" s="214">
        <f>D31*G31/1000</f>
        <v>4.8499999999999996</v>
      </c>
    </row>
    <row r="32" spans="1:8">
      <c r="A32" s="4">
        <v>4</v>
      </c>
      <c r="B32" s="107" t="s">
        <v>117</v>
      </c>
      <c r="C32" s="1" t="s">
        <v>111</v>
      </c>
      <c r="D32" s="108">
        <v>1</v>
      </c>
      <c r="E32" s="64">
        <v>1</v>
      </c>
      <c r="F32" s="1"/>
      <c r="G32" s="217">
        <v>30</v>
      </c>
      <c r="H32" s="214">
        <f>D32*G32/1000</f>
        <v>0.03</v>
      </c>
    </row>
    <row r="33" spans="1:9">
      <c r="A33" s="352" t="s">
        <v>333</v>
      </c>
      <c r="B33" s="352"/>
      <c r="C33" s="1"/>
      <c r="D33" s="105">
        <f>SUM(D29:D32)</f>
        <v>201</v>
      </c>
      <c r="E33" s="105">
        <f t="shared" ref="E33:H33" si="2">SUM(E29:E32)</f>
        <v>161</v>
      </c>
      <c r="F33" s="105">
        <f t="shared" si="2"/>
        <v>150</v>
      </c>
      <c r="G33" s="105">
        <f t="shared" si="2"/>
        <v>647</v>
      </c>
      <c r="H33" s="219">
        <f t="shared" si="2"/>
        <v>14.04</v>
      </c>
    </row>
    <row r="34" spans="1:9" ht="16.149999999999999" customHeight="1">
      <c r="A34" s="102"/>
      <c r="B34" s="102"/>
      <c r="D34" s="110"/>
      <c r="E34" s="110"/>
      <c r="G34" s="79" t="s">
        <v>18</v>
      </c>
      <c r="H34" s="256">
        <f>H33*5</f>
        <v>70.199999999999989</v>
      </c>
    </row>
    <row r="35" spans="1:9" ht="24">
      <c r="C35" s="99"/>
      <c r="D35" s="99"/>
      <c r="G35" s="80" t="s">
        <v>14</v>
      </c>
      <c r="H35" s="80">
        <v>95</v>
      </c>
    </row>
    <row r="36" spans="1:9">
      <c r="B36" s="48" t="s">
        <v>349</v>
      </c>
      <c r="C36" s="106"/>
      <c r="D36" s="103"/>
      <c r="G36" s="91"/>
    </row>
    <row r="37" spans="1:9" ht="36">
      <c r="A37" s="4" t="s">
        <v>12</v>
      </c>
      <c r="B37" s="4" t="s">
        <v>0</v>
      </c>
      <c r="C37" s="4" t="s">
        <v>1</v>
      </c>
      <c r="D37" s="4" t="s">
        <v>2</v>
      </c>
      <c r="E37" s="4" t="s">
        <v>3</v>
      </c>
      <c r="F37" s="4" t="s">
        <v>416</v>
      </c>
      <c r="G37" s="5" t="s">
        <v>39</v>
      </c>
      <c r="H37" s="30" t="s">
        <v>15</v>
      </c>
    </row>
    <row r="38" spans="1:9">
      <c r="A38" s="4">
        <v>1</v>
      </c>
      <c r="B38" s="1" t="s">
        <v>350</v>
      </c>
      <c r="C38" s="1" t="s">
        <v>111</v>
      </c>
      <c r="D38" s="1">
        <v>180</v>
      </c>
      <c r="E38" s="64">
        <v>170</v>
      </c>
      <c r="F38" s="1">
        <v>150</v>
      </c>
      <c r="G38" s="217">
        <v>285</v>
      </c>
      <c r="H38" s="214">
        <f>D38*G38/1000</f>
        <v>51.3</v>
      </c>
    </row>
    <row r="39" spans="1:9">
      <c r="A39" s="4">
        <v>2</v>
      </c>
      <c r="B39" s="1" t="s">
        <v>351</v>
      </c>
      <c r="C39" s="1" t="s">
        <v>111</v>
      </c>
      <c r="D39" s="1">
        <v>10</v>
      </c>
      <c r="E39" s="64">
        <v>10</v>
      </c>
      <c r="F39" s="1"/>
      <c r="G39" s="217">
        <v>180</v>
      </c>
      <c r="H39" s="214">
        <f>D39*G39/1000</f>
        <v>1.8</v>
      </c>
    </row>
    <row r="40" spans="1:9">
      <c r="A40" s="4">
        <v>3</v>
      </c>
      <c r="B40" s="1" t="s">
        <v>352</v>
      </c>
      <c r="C40" s="1" t="s">
        <v>111</v>
      </c>
      <c r="D40" s="1">
        <v>2</v>
      </c>
      <c r="E40" s="64">
        <v>2</v>
      </c>
      <c r="F40" s="1"/>
      <c r="G40" s="217">
        <v>492</v>
      </c>
      <c r="H40" s="214">
        <f>D40*G40/1000</f>
        <v>0.98399999999999999</v>
      </c>
    </row>
    <row r="41" spans="1:9">
      <c r="A41" s="4">
        <v>4</v>
      </c>
      <c r="B41" s="1" t="s">
        <v>171</v>
      </c>
      <c r="C41" s="1" t="s">
        <v>111</v>
      </c>
      <c r="D41" s="1">
        <v>1</v>
      </c>
      <c r="E41" s="64">
        <v>1</v>
      </c>
      <c r="F41" s="1"/>
      <c r="G41" s="217">
        <v>225</v>
      </c>
      <c r="H41" s="214">
        <f>D41*G41/1000</f>
        <v>0.22500000000000001</v>
      </c>
    </row>
    <row r="42" spans="1:9">
      <c r="A42" s="4">
        <v>5</v>
      </c>
      <c r="B42" s="1" t="s">
        <v>285</v>
      </c>
      <c r="C42" s="1" t="s">
        <v>111</v>
      </c>
      <c r="D42" s="1">
        <v>5</v>
      </c>
      <c r="E42" s="64">
        <v>5</v>
      </c>
      <c r="F42" s="1"/>
      <c r="G42" s="217">
        <v>485</v>
      </c>
      <c r="H42" s="214">
        <f>D42*G42/1000</f>
        <v>2.4249999999999998</v>
      </c>
    </row>
    <row r="43" spans="1:9">
      <c r="A43" s="352" t="s">
        <v>333</v>
      </c>
      <c r="B43" s="352"/>
      <c r="C43" s="46"/>
      <c r="D43" s="105">
        <f>SUM(D38:D42)</f>
        <v>198</v>
      </c>
      <c r="E43" s="105">
        <f t="shared" ref="E43:H43" si="3">SUM(E38:E42)</f>
        <v>188</v>
      </c>
      <c r="F43" s="105">
        <f t="shared" si="3"/>
        <v>150</v>
      </c>
      <c r="G43" s="105">
        <f t="shared" si="3"/>
        <v>1667</v>
      </c>
      <c r="H43" s="105">
        <f t="shared" si="3"/>
        <v>56.733999999999995</v>
      </c>
    </row>
    <row r="44" spans="1:9" ht="21" customHeight="1">
      <c r="A44" s="102"/>
      <c r="B44" s="102"/>
      <c r="C44" s="48"/>
      <c r="D44" s="110"/>
      <c r="E44" s="110"/>
      <c r="F44" s="48"/>
      <c r="G44" s="79" t="s">
        <v>28</v>
      </c>
      <c r="H44" s="256">
        <f>H43*3</f>
        <v>170.202</v>
      </c>
    </row>
    <row r="45" spans="1:9" ht="24">
      <c r="A45" s="102"/>
      <c r="B45" s="102"/>
      <c r="C45" s="48"/>
      <c r="D45" s="110"/>
      <c r="E45" s="110"/>
      <c r="F45" s="48"/>
      <c r="G45" s="80" t="s">
        <v>14</v>
      </c>
      <c r="H45" s="80">
        <v>170</v>
      </c>
    </row>
    <row r="46" spans="1:9" ht="15.75">
      <c r="B46" s="41" t="s">
        <v>411</v>
      </c>
      <c r="C46" s="106"/>
      <c r="D46" s="103"/>
      <c r="G46" s="91"/>
    </row>
    <row r="47" spans="1:9" ht="36">
      <c r="A47" s="4" t="s">
        <v>12</v>
      </c>
      <c r="B47" s="4" t="s">
        <v>0</v>
      </c>
      <c r="C47" s="4" t="s">
        <v>1</v>
      </c>
      <c r="D47" s="4" t="s">
        <v>2</v>
      </c>
      <c r="E47" s="4" t="s">
        <v>3</v>
      </c>
      <c r="F47" s="4" t="s">
        <v>416</v>
      </c>
      <c r="G47" s="5" t="s">
        <v>39</v>
      </c>
      <c r="H47" s="30" t="s">
        <v>15</v>
      </c>
    </row>
    <row r="48" spans="1:9">
      <c r="A48" s="4">
        <v>1</v>
      </c>
      <c r="B48" s="1" t="s">
        <v>350</v>
      </c>
      <c r="C48" s="1" t="s">
        <v>111</v>
      </c>
      <c r="D48" s="1">
        <v>110</v>
      </c>
      <c r="E48" s="64">
        <v>100</v>
      </c>
      <c r="F48" s="1">
        <v>150</v>
      </c>
      <c r="G48" s="217">
        <v>330</v>
      </c>
      <c r="H48" s="62">
        <f>D48*G48/1000</f>
        <v>36.299999999999997</v>
      </c>
      <c r="I48" t="s">
        <v>554</v>
      </c>
    </row>
    <row r="49" spans="1:9">
      <c r="A49" s="4">
        <v>2</v>
      </c>
      <c r="B49" s="1" t="s">
        <v>351</v>
      </c>
      <c r="C49" s="1" t="s">
        <v>111</v>
      </c>
      <c r="D49" s="1">
        <v>10</v>
      </c>
      <c r="E49" s="64">
        <v>10</v>
      </c>
      <c r="F49" s="1"/>
      <c r="G49" s="217">
        <v>180</v>
      </c>
      <c r="H49" s="62">
        <f>D49*G49/1000</f>
        <v>1.8</v>
      </c>
    </row>
    <row r="50" spans="1:9">
      <c r="A50" s="4">
        <v>3</v>
      </c>
      <c r="B50" s="1" t="s">
        <v>352</v>
      </c>
      <c r="C50" s="1" t="s">
        <v>111</v>
      </c>
      <c r="D50" s="1">
        <v>2</v>
      </c>
      <c r="E50" s="64">
        <v>2</v>
      </c>
      <c r="F50" s="1"/>
      <c r="G50" s="217">
        <v>492</v>
      </c>
      <c r="H50" s="62">
        <f>D50*G50/1000</f>
        <v>0.98399999999999999</v>
      </c>
    </row>
    <row r="51" spans="1:9">
      <c r="A51" s="4">
        <v>4</v>
      </c>
      <c r="B51" s="1" t="s">
        <v>171</v>
      </c>
      <c r="C51" s="1" t="s">
        <v>111</v>
      </c>
      <c r="D51" s="1">
        <v>1</v>
      </c>
      <c r="E51" s="64">
        <v>1</v>
      </c>
      <c r="F51" s="1"/>
      <c r="G51" s="217">
        <v>225</v>
      </c>
      <c r="H51" s="62">
        <f>D51*G51/1000</f>
        <v>0.22500000000000001</v>
      </c>
    </row>
    <row r="52" spans="1:9">
      <c r="A52" s="4">
        <v>5</v>
      </c>
      <c r="B52" s="1" t="s">
        <v>285</v>
      </c>
      <c r="C52" s="1" t="s">
        <v>111</v>
      </c>
      <c r="D52" s="1">
        <v>2</v>
      </c>
      <c r="E52" s="64">
        <v>2</v>
      </c>
      <c r="F52" s="1"/>
      <c r="G52" s="217">
        <v>850</v>
      </c>
      <c r="H52" s="62">
        <f>G52*D52/1000</f>
        <v>1.7</v>
      </c>
    </row>
    <row r="53" spans="1:9">
      <c r="A53" s="4">
        <v>6</v>
      </c>
      <c r="B53" s="1" t="s">
        <v>264</v>
      </c>
      <c r="C53" s="1" t="s">
        <v>111</v>
      </c>
      <c r="D53" s="1">
        <v>20</v>
      </c>
      <c r="E53" s="64">
        <v>15</v>
      </c>
      <c r="F53" s="1"/>
      <c r="G53" s="217">
        <v>30</v>
      </c>
      <c r="H53" s="62">
        <f>D53*G53/1000</f>
        <v>0.6</v>
      </c>
    </row>
    <row r="54" spans="1:9">
      <c r="A54" s="4">
        <v>7</v>
      </c>
      <c r="B54" s="63" t="s">
        <v>546</v>
      </c>
      <c r="C54" s="1" t="s">
        <v>111</v>
      </c>
      <c r="D54" s="64">
        <v>30</v>
      </c>
      <c r="E54" s="64">
        <v>30</v>
      </c>
      <c r="F54" s="1"/>
      <c r="G54" s="217">
        <v>250</v>
      </c>
      <c r="H54" s="62">
        <f>D54*G54/1000</f>
        <v>7.5</v>
      </c>
    </row>
    <row r="55" spans="1:9">
      <c r="A55" s="352" t="s">
        <v>333</v>
      </c>
      <c r="B55" s="352"/>
      <c r="C55" s="46"/>
      <c r="D55" s="105">
        <f>SUM(D48:D54)</f>
        <v>175</v>
      </c>
      <c r="E55" s="105">
        <f>SUM(E48:E54)</f>
        <v>160</v>
      </c>
      <c r="F55" s="46">
        <v>150</v>
      </c>
      <c r="G55" s="95"/>
      <c r="H55" s="105">
        <f>SUM(H48:H54)</f>
        <v>49.109000000000002</v>
      </c>
    </row>
    <row r="56" spans="1:9" ht="17.45" customHeight="1">
      <c r="A56" s="102"/>
      <c r="B56" s="102"/>
      <c r="C56" s="48"/>
      <c r="D56" s="110"/>
      <c r="E56" s="110"/>
      <c r="F56" s="48"/>
      <c r="G56" s="79" t="s">
        <v>28</v>
      </c>
      <c r="H56" s="256">
        <f>H55*3</f>
        <v>147.327</v>
      </c>
    </row>
    <row r="57" spans="1:9" ht="24">
      <c r="A57" s="102"/>
      <c r="B57" s="102"/>
      <c r="C57" s="48"/>
      <c r="D57" s="110"/>
      <c r="E57" s="110"/>
      <c r="F57" s="48"/>
      <c r="G57" s="80" t="s">
        <v>14</v>
      </c>
      <c r="H57" s="80">
        <v>180</v>
      </c>
    </row>
    <row r="58" spans="1:9" ht="15.75">
      <c r="B58" s="41" t="s">
        <v>188</v>
      </c>
      <c r="C58" s="106"/>
      <c r="D58" s="103"/>
      <c r="G58" s="91"/>
    </row>
    <row r="59" spans="1:9" ht="36">
      <c r="A59" s="4" t="s">
        <v>12</v>
      </c>
      <c r="B59" s="4" t="s">
        <v>0</v>
      </c>
      <c r="C59" s="4" t="s">
        <v>1</v>
      </c>
      <c r="D59" s="4" t="s">
        <v>2</v>
      </c>
      <c r="E59" s="4" t="s">
        <v>3</v>
      </c>
      <c r="F59" s="4" t="s">
        <v>416</v>
      </c>
      <c r="G59" s="5" t="s">
        <v>39</v>
      </c>
      <c r="H59" s="30" t="s">
        <v>15</v>
      </c>
    </row>
    <row r="60" spans="1:9">
      <c r="A60" s="4">
        <v>1</v>
      </c>
      <c r="B60" s="63" t="s">
        <v>410</v>
      </c>
      <c r="C60" s="1" t="s">
        <v>111</v>
      </c>
      <c r="D60" s="64">
        <v>110</v>
      </c>
      <c r="E60" s="64">
        <v>100</v>
      </c>
      <c r="F60" s="1">
        <v>150</v>
      </c>
      <c r="G60" s="217">
        <v>260</v>
      </c>
      <c r="H60" s="62">
        <f>D60*G60/1000</f>
        <v>28.6</v>
      </c>
      <c r="I60" t="s">
        <v>554</v>
      </c>
    </row>
    <row r="61" spans="1:9">
      <c r="A61" s="4">
        <v>2</v>
      </c>
      <c r="B61" s="63" t="s">
        <v>117</v>
      </c>
      <c r="C61" s="1" t="s">
        <v>111</v>
      </c>
      <c r="D61" s="64">
        <v>1</v>
      </c>
      <c r="E61" s="64">
        <v>1</v>
      </c>
      <c r="F61" s="1"/>
      <c r="G61" s="217">
        <v>30</v>
      </c>
      <c r="H61" s="62">
        <f>D61*G61/1000</f>
        <v>0.03</v>
      </c>
    </row>
    <row r="62" spans="1:9">
      <c r="A62" s="4">
        <v>3</v>
      </c>
      <c r="B62" s="63" t="s">
        <v>214</v>
      </c>
      <c r="C62" s="1" t="s">
        <v>111</v>
      </c>
      <c r="D62" s="64">
        <v>20</v>
      </c>
      <c r="E62" s="64">
        <v>20</v>
      </c>
      <c r="F62" s="1"/>
      <c r="G62" s="217">
        <v>180</v>
      </c>
      <c r="H62" s="62">
        <f>D62*G62/1000</f>
        <v>3.6</v>
      </c>
    </row>
    <row r="63" spans="1:9">
      <c r="A63" s="4">
        <v>4</v>
      </c>
      <c r="B63" s="63" t="s">
        <v>353</v>
      </c>
      <c r="C63" s="1" t="s">
        <v>111</v>
      </c>
      <c r="D63" s="64">
        <v>30</v>
      </c>
      <c r="E63" s="64">
        <v>30</v>
      </c>
      <c r="F63" s="1"/>
      <c r="G63" s="217">
        <v>280</v>
      </c>
      <c r="H63" s="62">
        <f>D63*G63/1000</f>
        <v>8.4</v>
      </c>
    </row>
    <row r="64" spans="1:9">
      <c r="A64" s="352" t="s">
        <v>333</v>
      </c>
      <c r="B64" s="352"/>
      <c r="C64" s="1"/>
      <c r="D64" s="105">
        <f>SUM(D60:D63)</f>
        <v>161</v>
      </c>
      <c r="E64" s="105">
        <f t="shared" ref="E64:H64" si="4">SUM(E60:E63)</f>
        <v>151</v>
      </c>
      <c r="F64" s="105">
        <f t="shared" si="4"/>
        <v>150</v>
      </c>
      <c r="G64" s="105">
        <f t="shared" si="4"/>
        <v>750</v>
      </c>
      <c r="H64" s="105">
        <f t="shared" si="4"/>
        <v>40.630000000000003</v>
      </c>
    </row>
    <row r="65" spans="1:9" ht="18.600000000000001" customHeight="1">
      <c r="A65" s="102"/>
      <c r="B65" s="102"/>
      <c r="D65" s="110"/>
      <c r="E65" s="110"/>
      <c r="G65" s="79" t="s">
        <v>28</v>
      </c>
      <c r="H65" s="256">
        <f>H64*3</f>
        <v>121.89000000000001</v>
      </c>
    </row>
    <row r="66" spans="1:9" ht="24">
      <c r="A66" s="102"/>
      <c r="B66" s="102"/>
      <c r="D66" s="110"/>
      <c r="E66" s="110"/>
      <c r="G66" s="80" t="s">
        <v>14</v>
      </c>
      <c r="H66" s="80">
        <v>150</v>
      </c>
    </row>
    <row r="67" spans="1:9" ht="15.75">
      <c r="B67" s="41" t="s">
        <v>412</v>
      </c>
      <c r="C67" s="106"/>
      <c r="D67" s="103"/>
      <c r="G67" s="91"/>
    </row>
    <row r="68" spans="1:9" ht="36">
      <c r="A68" s="4" t="s">
        <v>12</v>
      </c>
      <c r="B68" s="4" t="s">
        <v>0</v>
      </c>
      <c r="C68" s="4" t="s">
        <v>1</v>
      </c>
      <c r="D68" s="4" t="s">
        <v>2</v>
      </c>
      <c r="E68" s="4" t="s">
        <v>3</v>
      </c>
      <c r="F68" s="4" t="s">
        <v>416</v>
      </c>
      <c r="G68" s="5" t="s">
        <v>39</v>
      </c>
      <c r="H68" s="30" t="s">
        <v>15</v>
      </c>
    </row>
    <row r="69" spans="1:9">
      <c r="A69" s="4">
        <v>1</v>
      </c>
      <c r="B69" s="63" t="s">
        <v>413</v>
      </c>
      <c r="C69" s="1" t="s">
        <v>111</v>
      </c>
      <c r="D69" s="64">
        <v>110</v>
      </c>
      <c r="E69" s="64">
        <v>100</v>
      </c>
      <c r="F69" s="1">
        <v>150</v>
      </c>
      <c r="G69" s="217">
        <v>330</v>
      </c>
      <c r="H69" s="62">
        <f>D69*G69/1000</f>
        <v>36.299999999999997</v>
      </c>
      <c r="I69" t="s">
        <v>554</v>
      </c>
    </row>
    <row r="70" spans="1:9">
      <c r="A70" s="4">
        <v>2</v>
      </c>
      <c r="B70" s="63" t="s">
        <v>117</v>
      </c>
      <c r="C70" s="1" t="s">
        <v>111</v>
      </c>
      <c r="D70" s="64">
        <v>1</v>
      </c>
      <c r="E70" s="64">
        <v>1</v>
      </c>
      <c r="F70" s="1"/>
      <c r="G70" s="217">
        <v>30</v>
      </c>
      <c r="H70" s="62">
        <f>D70*G70/1000</f>
        <v>0.03</v>
      </c>
    </row>
    <row r="71" spans="1:9">
      <c r="A71" s="4">
        <v>3</v>
      </c>
      <c r="B71" s="63" t="s">
        <v>214</v>
      </c>
      <c r="C71" s="1" t="s">
        <v>111</v>
      </c>
      <c r="D71" s="64">
        <v>20</v>
      </c>
      <c r="E71" s="64">
        <v>20</v>
      </c>
      <c r="F71" s="1"/>
      <c r="G71" s="217">
        <v>180</v>
      </c>
      <c r="H71" s="62">
        <f>D71*G71/1000</f>
        <v>3.6</v>
      </c>
    </row>
    <row r="72" spans="1:9">
      <c r="A72" s="4">
        <v>4</v>
      </c>
      <c r="B72" s="63" t="s">
        <v>353</v>
      </c>
      <c r="C72" s="1" t="s">
        <v>111</v>
      </c>
      <c r="D72" s="64">
        <v>30</v>
      </c>
      <c r="E72" s="64">
        <v>30</v>
      </c>
      <c r="F72" s="1"/>
      <c r="G72" s="217">
        <v>280</v>
      </c>
      <c r="H72" s="62">
        <f>D72*G72/1000</f>
        <v>8.4</v>
      </c>
    </row>
    <row r="73" spans="1:9">
      <c r="A73" s="352" t="s">
        <v>333</v>
      </c>
      <c r="B73" s="352"/>
      <c r="C73" s="1"/>
      <c r="D73" s="105">
        <f>SUM(D69:D72)</f>
        <v>161</v>
      </c>
      <c r="E73" s="105">
        <f t="shared" ref="E73:H73" si="5">SUM(E69:E72)</f>
        <v>151</v>
      </c>
      <c r="F73" s="105">
        <f t="shared" si="5"/>
        <v>150</v>
      </c>
      <c r="G73" s="105">
        <f t="shared" si="5"/>
        <v>820</v>
      </c>
      <c r="H73" s="105">
        <f t="shared" si="5"/>
        <v>48.33</v>
      </c>
    </row>
    <row r="74" spans="1:9" ht="16.149999999999999" customHeight="1">
      <c r="A74" s="102"/>
      <c r="B74" s="102"/>
      <c r="D74" s="110"/>
      <c r="E74" s="110"/>
      <c r="G74" s="79" t="s">
        <v>28</v>
      </c>
      <c r="H74" s="256">
        <f>H73*3</f>
        <v>144.99</v>
      </c>
    </row>
    <row r="75" spans="1:9" ht="24">
      <c r="C75" s="99"/>
      <c r="G75" s="80" t="s">
        <v>14</v>
      </c>
      <c r="H75" s="80">
        <v>150</v>
      </c>
    </row>
    <row r="76" spans="1:9" ht="15.75">
      <c r="B76" s="41" t="s">
        <v>354</v>
      </c>
      <c r="C76" s="106"/>
      <c r="D76" s="103"/>
      <c r="G76" s="91"/>
    </row>
    <row r="77" spans="1:9" ht="36">
      <c r="A77" s="4" t="s">
        <v>12</v>
      </c>
      <c r="B77" s="4" t="s">
        <v>0</v>
      </c>
      <c r="C77" s="4" t="s">
        <v>1</v>
      </c>
      <c r="D77" s="4" t="s">
        <v>2</v>
      </c>
      <c r="E77" s="4" t="s">
        <v>3</v>
      </c>
      <c r="F77" s="4" t="s">
        <v>416</v>
      </c>
      <c r="G77" s="5" t="s">
        <v>39</v>
      </c>
      <c r="H77" s="30" t="s">
        <v>15</v>
      </c>
    </row>
    <row r="78" spans="1:9">
      <c r="A78" s="4">
        <v>1</v>
      </c>
      <c r="B78" s="107" t="s">
        <v>281</v>
      </c>
      <c r="C78" s="1" t="s">
        <v>111</v>
      </c>
      <c r="D78" s="108">
        <v>200</v>
      </c>
      <c r="E78" s="108">
        <v>170</v>
      </c>
      <c r="F78" s="1">
        <v>150</v>
      </c>
      <c r="G78" s="217">
        <v>200</v>
      </c>
      <c r="H78" s="214">
        <f>D78*G78/1000</f>
        <v>40</v>
      </c>
    </row>
    <row r="79" spans="1:9">
      <c r="A79" s="4">
        <v>2</v>
      </c>
      <c r="B79" s="107" t="s">
        <v>285</v>
      </c>
      <c r="C79" s="1" t="s">
        <v>111</v>
      </c>
      <c r="D79" s="108">
        <v>10</v>
      </c>
      <c r="E79" s="108">
        <v>10</v>
      </c>
      <c r="F79" s="1"/>
      <c r="G79" s="217">
        <v>850</v>
      </c>
      <c r="H79" s="214">
        <f>D79*G79/1000</f>
        <v>8.5</v>
      </c>
    </row>
    <row r="80" spans="1:9">
      <c r="A80" s="4">
        <v>3</v>
      </c>
      <c r="B80" s="107" t="s">
        <v>171</v>
      </c>
      <c r="C80" s="1" t="s">
        <v>111</v>
      </c>
      <c r="D80" s="108">
        <v>1</v>
      </c>
      <c r="E80" s="108">
        <v>1</v>
      </c>
      <c r="F80" s="1"/>
      <c r="G80" s="217">
        <v>225</v>
      </c>
      <c r="H80" s="214">
        <f>D80*G80/1000</f>
        <v>0.22500000000000001</v>
      </c>
    </row>
    <row r="81" spans="1:8">
      <c r="A81" s="4">
        <v>4</v>
      </c>
      <c r="B81" s="107" t="s">
        <v>355</v>
      </c>
      <c r="C81" s="1" t="s">
        <v>111</v>
      </c>
      <c r="D81" s="108">
        <v>5</v>
      </c>
      <c r="E81" s="108">
        <v>5</v>
      </c>
      <c r="F81" s="1"/>
      <c r="G81" s="217">
        <v>1969</v>
      </c>
      <c r="H81" s="214">
        <f>D81*G81/1000</f>
        <v>9.8450000000000006</v>
      </c>
    </row>
    <row r="82" spans="1:8">
      <c r="A82" s="4">
        <v>5</v>
      </c>
      <c r="B82" s="107" t="s">
        <v>117</v>
      </c>
      <c r="C82" s="1" t="s">
        <v>111</v>
      </c>
      <c r="D82" s="108">
        <v>1</v>
      </c>
      <c r="E82" s="108">
        <v>1</v>
      </c>
      <c r="F82" s="1"/>
      <c r="G82" s="217">
        <v>30</v>
      </c>
      <c r="H82" s="214">
        <f>D82*G82/1000</f>
        <v>0.03</v>
      </c>
    </row>
    <row r="83" spans="1:8">
      <c r="A83" s="352" t="s">
        <v>333</v>
      </c>
      <c r="B83" s="352"/>
      <c r="C83" s="1"/>
      <c r="D83" s="105">
        <f>SUM(D78:D82)</f>
        <v>217</v>
      </c>
      <c r="E83" s="105">
        <f>SUM(E78:E82)</f>
        <v>187</v>
      </c>
      <c r="F83" s="1">
        <v>150</v>
      </c>
      <c r="G83" s="95"/>
      <c r="H83" s="105">
        <f>SUM(H78:H82)</f>
        <v>58.6</v>
      </c>
    </row>
    <row r="84" spans="1:8" ht="16.149999999999999" customHeight="1">
      <c r="A84" s="102"/>
      <c r="B84" s="102"/>
      <c r="D84" s="110"/>
      <c r="E84" s="110"/>
      <c r="G84" s="79" t="s">
        <v>29</v>
      </c>
      <c r="H84" s="256">
        <f>H83*2.5</f>
        <v>146.5</v>
      </c>
    </row>
    <row r="85" spans="1:8" ht="24">
      <c r="C85" s="99"/>
      <c r="D85" s="99"/>
      <c r="G85" s="80" t="s">
        <v>14</v>
      </c>
      <c r="H85" s="80">
        <v>150</v>
      </c>
    </row>
    <row r="86" spans="1:8" ht="15.75">
      <c r="B86" s="41" t="s">
        <v>356</v>
      </c>
      <c r="C86" s="106"/>
      <c r="D86" s="103"/>
      <c r="G86" s="91"/>
    </row>
    <row r="87" spans="1:8" ht="36">
      <c r="A87" s="4" t="s">
        <v>12</v>
      </c>
      <c r="B87" s="4" t="s">
        <v>0</v>
      </c>
      <c r="C87" s="4" t="s">
        <v>1</v>
      </c>
      <c r="D87" s="4" t="s">
        <v>2</v>
      </c>
      <c r="E87" s="4" t="s">
        <v>3</v>
      </c>
      <c r="F87" s="4" t="s">
        <v>416</v>
      </c>
      <c r="G87" s="5" t="s">
        <v>39</v>
      </c>
      <c r="H87" s="30" t="s">
        <v>15</v>
      </c>
    </row>
    <row r="88" spans="1:8">
      <c r="A88" s="4">
        <v>1</v>
      </c>
      <c r="B88" s="63" t="s">
        <v>357</v>
      </c>
      <c r="C88" s="1" t="s">
        <v>111</v>
      </c>
      <c r="D88" s="69">
        <v>80</v>
      </c>
      <c r="E88" s="69">
        <v>150</v>
      </c>
      <c r="F88" s="1">
        <v>150</v>
      </c>
      <c r="G88" s="217">
        <v>260</v>
      </c>
      <c r="H88" s="214">
        <f>D88*G88/1000</f>
        <v>20.8</v>
      </c>
    </row>
    <row r="89" spans="1:8">
      <c r="A89" s="4">
        <v>2</v>
      </c>
      <c r="B89" s="63" t="s">
        <v>117</v>
      </c>
      <c r="C89" s="1" t="s">
        <v>111</v>
      </c>
      <c r="D89" s="69">
        <v>1</v>
      </c>
      <c r="E89" s="69">
        <v>1</v>
      </c>
      <c r="F89" s="1"/>
      <c r="G89" s="217">
        <v>30</v>
      </c>
      <c r="H89" s="214">
        <f>D89*G89/1000</f>
        <v>0.03</v>
      </c>
    </row>
    <row r="90" spans="1:8">
      <c r="A90" s="4">
        <v>3</v>
      </c>
      <c r="B90" s="63" t="s">
        <v>285</v>
      </c>
      <c r="C90" s="1" t="s">
        <v>111</v>
      </c>
      <c r="D90" s="64">
        <v>10</v>
      </c>
      <c r="E90" s="69">
        <v>10</v>
      </c>
      <c r="F90" s="1"/>
      <c r="G90" s="217">
        <v>485</v>
      </c>
      <c r="H90" s="214">
        <f>D90*G90/1000</f>
        <v>4.8499999999999996</v>
      </c>
    </row>
    <row r="91" spans="1:8">
      <c r="A91" s="352" t="s">
        <v>333</v>
      </c>
      <c r="B91" s="352"/>
      <c r="C91" s="46"/>
      <c r="D91" s="105">
        <f>SUM(D88:D90)</f>
        <v>91</v>
      </c>
      <c r="E91" s="105">
        <f>SUM(E88:E90)</f>
        <v>161</v>
      </c>
      <c r="F91" s="46">
        <v>150</v>
      </c>
      <c r="G91" s="95"/>
      <c r="H91" s="105">
        <f>SUM(H88:H90)</f>
        <v>25.68</v>
      </c>
    </row>
    <row r="92" spans="1:8" ht="18" customHeight="1">
      <c r="A92" s="102"/>
      <c r="B92" s="102"/>
      <c r="C92" s="48"/>
      <c r="D92" s="110"/>
      <c r="E92" s="110"/>
      <c r="F92" s="48"/>
      <c r="G92" s="79" t="s">
        <v>18</v>
      </c>
      <c r="H92" s="256">
        <f>H91*5</f>
        <v>128.4</v>
      </c>
    </row>
    <row r="93" spans="1:8" ht="24">
      <c r="C93" s="99"/>
      <c r="D93" s="99"/>
      <c r="G93" s="80" t="s">
        <v>14</v>
      </c>
      <c r="H93" s="80">
        <v>150</v>
      </c>
    </row>
    <row r="94" spans="1:8" ht="15.75">
      <c r="B94" s="41" t="s">
        <v>358</v>
      </c>
      <c r="C94" s="106"/>
      <c r="D94" s="103"/>
      <c r="G94" s="91"/>
    </row>
    <row r="95" spans="1:8" ht="36">
      <c r="A95" s="4" t="s">
        <v>12</v>
      </c>
      <c r="B95" s="4" t="s">
        <v>0</v>
      </c>
      <c r="C95" s="4" t="s">
        <v>1</v>
      </c>
      <c r="D95" s="4" t="s">
        <v>2</v>
      </c>
      <c r="E95" s="4" t="s">
        <v>3</v>
      </c>
      <c r="F95" s="4" t="s">
        <v>416</v>
      </c>
      <c r="G95" s="5" t="s">
        <v>39</v>
      </c>
      <c r="H95" s="30" t="s">
        <v>15</v>
      </c>
    </row>
    <row r="96" spans="1:8">
      <c r="A96" s="4">
        <v>1</v>
      </c>
      <c r="B96" s="63" t="s">
        <v>359</v>
      </c>
      <c r="C96" s="1" t="s">
        <v>5</v>
      </c>
      <c r="D96" s="69">
        <v>80</v>
      </c>
      <c r="E96" s="69">
        <v>150</v>
      </c>
      <c r="F96" s="1">
        <v>150</v>
      </c>
      <c r="G96" s="217">
        <v>105</v>
      </c>
      <c r="H96" s="214">
        <f>D96*G96/1000</f>
        <v>8.4</v>
      </c>
    </row>
    <row r="97" spans="1:8">
      <c r="A97" s="4">
        <v>2</v>
      </c>
      <c r="B97" s="63" t="s">
        <v>117</v>
      </c>
      <c r="C97" s="1" t="s">
        <v>5</v>
      </c>
      <c r="D97" s="69">
        <v>1</v>
      </c>
      <c r="E97" s="69">
        <v>0</v>
      </c>
      <c r="F97" s="1"/>
      <c r="G97" s="217">
        <v>30</v>
      </c>
      <c r="H97" s="214">
        <f>D97*G97/1000</f>
        <v>0.03</v>
      </c>
    </row>
    <row r="98" spans="1:8">
      <c r="A98" s="4">
        <v>3</v>
      </c>
      <c r="B98" s="63" t="s">
        <v>285</v>
      </c>
      <c r="C98" s="1" t="s">
        <v>5</v>
      </c>
      <c r="D98" s="64">
        <v>10</v>
      </c>
      <c r="E98" s="69">
        <v>0</v>
      </c>
      <c r="F98" s="1"/>
      <c r="G98" s="217">
        <v>485</v>
      </c>
      <c r="H98" s="214">
        <f>D98*G98/1000</f>
        <v>4.8499999999999996</v>
      </c>
    </row>
    <row r="99" spans="1:8">
      <c r="A99" s="4">
        <v>4</v>
      </c>
      <c r="B99" s="63" t="s">
        <v>360</v>
      </c>
      <c r="C99" s="1" t="s">
        <v>5</v>
      </c>
      <c r="D99" s="69">
        <v>10</v>
      </c>
      <c r="E99" s="69">
        <v>0</v>
      </c>
      <c r="F99" s="1"/>
      <c r="G99" s="217">
        <v>235</v>
      </c>
      <c r="H99" s="214">
        <f>D99*G99/1000</f>
        <v>2.35</v>
      </c>
    </row>
    <row r="100" spans="1:8">
      <c r="A100" s="4">
        <v>5</v>
      </c>
      <c r="B100" s="63" t="s">
        <v>361</v>
      </c>
      <c r="C100" s="1" t="s">
        <v>5</v>
      </c>
      <c r="D100" s="64">
        <v>10</v>
      </c>
      <c r="E100" s="64">
        <v>0</v>
      </c>
      <c r="F100" s="1"/>
      <c r="G100" s="217">
        <v>235</v>
      </c>
      <c r="H100" s="214">
        <f>D100*G100/1000</f>
        <v>2.35</v>
      </c>
    </row>
    <row r="101" spans="1:8">
      <c r="A101" s="352" t="s">
        <v>333</v>
      </c>
      <c r="B101" s="352"/>
      <c r="C101" s="46"/>
      <c r="D101" s="105">
        <f>SUM(D96:D100)</f>
        <v>111</v>
      </c>
      <c r="E101" s="105">
        <f t="shared" ref="E101:F101" si="6">SUM(E96:E100)</f>
        <v>150</v>
      </c>
      <c r="F101" s="105">
        <f t="shared" si="6"/>
        <v>150</v>
      </c>
      <c r="G101" s="95"/>
      <c r="H101" s="105">
        <f>SUM(H96:H100)</f>
        <v>17.98</v>
      </c>
    </row>
    <row r="102" spans="1:8" ht="18" customHeight="1">
      <c r="A102" s="102"/>
      <c r="B102" s="102"/>
      <c r="C102" s="102"/>
      <c r="D102" s="102"/>
      <c r="E102" s="102"/>
      <c r="F102" s="48"/>
      <c r="G102" s="79" t="s">
        <v>18</v>
      </c>
      <c r="H102" s="256">
        <f>H101*5</f>
        <v>89.9</v>
      </c>
    </row>
    <row r="103" spans="1:8" ht="24">
      <c r="A103" s="102"/>
      <c r="B103" s="102"/>
      <c r="C103" s="102"/>
      <c r="D103" s="102"/>
      <c r="E103" s="102"/>
      <c r="F103" s="48"/>
      <c r="G103" s="80" t="s">
        <v>14</v>
      </c>
      <c r="H103" s="80">
        <v>110</v>
      </c>
    </row>
    <row r="104" spans="1:8" ht="15.75">
      <c r="B104" s="41" t="s">
        <v>415</v>
      </c>
      <c r="C104" s="102"/>
      <c r="D104" s="102"/>
      <c r="E104" s="102"/>
    </row>
    <row r="105" spans="1:8" ht="36">
      <c r="A105" s="4" t="s">
        <v>12</v>
      </c>
      <c r="B105" s="4" t="s">
        <v>0</v>
      </c>
      <c r="C105" s="4" t="s">
        <v>1</v>
      </c>
      <c r="D105" s="4" t="s">
        <v>2</v>
      </c>
      <c r="E105" s="4" t="s">
        <v>3</v>
      </c>
      <c r="F105" s="4" t="s">
        <v>416</v>
      </c>
      <c r="G105" s="5" t="s">
        <v>39</v>
      </c>
      <c r="H105" s="30" t="s">
        <v>15</v>
      </c>
    </row>
    <row r="106" spans="1:8">
      <c r="A106" s="4">
        <v>1</v>
      </c>
      <c r="B106" s="68" t="s">
        <v>387</v>
      </c>
      <c r="C106" s="1" t="s">
        <v>111</v>
      </c>
      <c r="D106" s="69">
        <v>50</v>
      </c>
      <c r="E106" s="69">
        <v>45</v>
      </c>
      <c r="F106" s="1">
        <v>35</v>
      </c>
      <c r="G106" s="217">
        <v>300</v>
      </c>
      <c r="H106" s="214">
        <f t="shared" ref="H106:H114" si="7">D106*G106/1000</f>
        <v>15</v>
      </c>
    </row>
    <row r="107" spans="1:8">
      <c r="A107" s="4">
        <v>2</v>
      </c>
      <c r="B107" s="68" t="s">
        <v>254</v>
      </c>
      <c r="C107" s="1" t="s">
        <v>111</v>
      </c>
      <c r="D107" s="69">
        <v>50</v>
      </c>
      <c r="E107" s="69">
        <v>45</v>
      </c>
      <c r="F107" s="1">
        <v>35</v>
      </c>
      <c r="G107" s="217">
        <v>293</v>
      </c>
      <c r="H107" s="214">
        <f t="shared" si="7"/>
        <v>14.65</v>
      </c>
    </row>
    <row r="108" spans="1:8">
      <c r="A108" s="4">
        <v>3</v>
      </c>
      <c r="B108" s="68" t="s">
        <v>170</v>
      </c>
      <c r="C108" s="1" t="s">
        <v>111</v>
      </c>
      <c r="D108" s="69">
        <v>50</v>
      </c>
      <c r="E108" s="69">
        <v>45</v>
      </c>
      <c r="F108" s="1">
        <v>40</v>
      </c>
      <c r="G108" s="217">
        <v>230</v>
      </c>
      <c r="H108" s="214">
        <f t="shared" si="7"/>
        <v>11.5</v>
      </c>
    </row>
    <row r="109" spans="1:8">
      <c r="A109" s="4">
        <v>4</v>
      </c>
      <c r="B109" s="68" t="s">
        <v>414</v>
      </c>
      <c r="C109" s="1" t="s">
        <v>111</v>
      </c>
      <c r="D109" s="69">
        <v>45</v>
      </c>
      <c r="E109" s="69">
        <v>35</v>
      </c>
      <c r="F109" s="1">
        <v>30</v>
      </c>
      <c r="G109" s="217">
        <v>251</v>
      </c>
      <c r="H109" s="214">
        <f t="shared" si="7"/>
        <v>11.295</v>
      </c>
    </row>
    <row r="110" spans="1:8">
      <c r="A110" s="4">
        <v>5</v>
      </c>
      <c r="B110" s="68" t="s">
        <v>264</v>
      </c>
      <c r="C110" s="1" t="s">
        <v>111</v>
      </c>
      <c r="D110" s="69">
        <v>30</v>
      </c>
      <c r="E110" s="69">
        <v>25</v>
      </c>
      <c r="F110" s="1">
        <v>10</v>
      </c>
      <c r="G110" s="217">
        <v>30</v>
      </c>
      <c r="H110" s="214">
        <f t="shared" si="7"/>
        <v>0.9</v>
      </c>
    </row>
    <row r="111" spans="1:8">
      <c r="A111" s="4">
        <v>6</v>
      </c>
      <c r="B111" s="68" t="s">
        <v>117</v>
      </c>
      <c r="C111" s="1" t="s">
        <v>111</v>
      </c>
      <c r="D111" s="69">
        <v>2</v>
      </c>
      <c r="E111" s="69">
        <v>0</v>
      </c>
      <c r="F111" s="1"/>
      <c r="G111" s="217">
        <v>19</v>
      </c>
      <c r="H111" s="214">
        <f t="shared" si="7"/>
        <v>3.7999999999999999E-2</v>
      </c>
    </row>
    <row r="112" spans="1:8">
      <c r="A112" s="4">
        <v>7</v>
      </c>
      <c r="B112" s="68" t="s">
        <v>137</v>
      </c>
      <c r="C112" s="1" t="s">
        <v>111</v>
      </c>
      <c r="D112" s="69">
        <v>1</v>
      </c>
      <c r="E112" s="69">
        <v>0</v>
      </c>
      <c r="F112" s="1"/>
      <c r="G112" s="217">
        <v>2150</v>
      </c>
      <c r="H112" s="214">
        <f t="shared" si="7"/>
        <v>2.15</v>
      </c>
    </row>
    <row r="113" spans="1:8">
      <c r="A113" s="4">
        <v>8</v>
      </c>
      <c r="B113" s="68" t="s">
        <v>214</v>
      </c>
      <c r="C113" s="1" t="s">
        <v>111</v>
      </c>
      <c r="D113" s="69">
        <v>10</v>
      </c>
      <c r="E113" s="69">
        <v>0</v>
      </c>
      <c r="F113" s="1"/>
      <c r="G113" s="217">
        <v>150</v>
      </c>
      <c r="H113" s="214">
        <f t="shared" si="7"/>
        <v>1.5</v>
      </c>
    </row>
    <row r="114" spans="1:8">
      <c r="A114" s="4">
        <v>9</v>
      </c>
      <c r="B114" s="68" t="s">
        <v>344</v>
      </c>
      <c r="C114" s="1" t="s">
        <v>111</v>
      </c>
      <c r="D114" s="69">
        <v>2</v>
      </c>
      <c r="E114" s="69">
        <v>0</v>
      </c>
      <c r="F114" s="1"/>
      <c r="G114" s="217">
        <v>492</v>
      </c>
      <c r="H114" s="214">
        <f t="shared" si="7"/>
        <v>0.98399999999999999</v>
      </c>
    </row>
    <row r="115" spans="1:8">
      <c r="A115" s="352" t="s">
        <v>333</v>
      </c>
      <c r="B115" s="352"/>
      <c r="C115" s="95"/>
      <c r="D115" s="105">
        <f>SUM(D106:D114)</f>
        <v>240</v>
      </c>
      <c r="E115" s="105">
        <f t="shared" ref="E115:F115" si="8">SUM(E106:E114)</f>
        <v>195</v>
      </c>
      <c r="F115" s="105">
        <f t="shared" si="8"/>
        <v>150</v>
      </c>
      <c r="G115" s="1"/>
      <c r="H115" s="105">
        <f>SUM(H106:H114)</f>
        <v>58.016999999999996</v>
      </c>
    </row>
    <row r="116" spans="1:8" ht="16.149999999999999" customHeight="1">
      <c r="G116" s="79" t="s">
        <v>28</v>
      </c>
      <c r="H116" s="256">
        <f>H115*3</f>
        <v>174.05099999999999</v>
      </c>
    </row>
    <row r="117" spans="1:8" ht="24">
      <c r="G117" s="80" t="s">
        <v>14</v>
      </c>
      <c r="H117" s="80">
        <v>180</v>
      </c>
    </row>
  </sheetData>
  <mergeCells count="11">
    <mergeCell ref="A115:B115"/>
    <mergeCell ref="A91:B91"/>
    <mergeCell ref="A101:B101"/>
    <mergeCell ref="A13:B13"/>
    <mergeCell ref="A24:B24"/>
    <mergeCell ref="A33:B33"/>
    <mergeCell ref="A43:B43"/>
    <mergeCell ref="A64:B64"/>
    <mergeCell ref="A83:B83"/>
    <mergeCell ref="A55:B55"/>
    <mergeCell ref="A73:B73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H29"/>
  <sheetViews>
    <sheetView workbookViewId="0">
      <selection activeCell="K25" sqref="K25"/>
    </sheetView>
  </sheetViews>
  <sheetFormatPr defaultRowHeight="15"/>
  <cols>
    <col min="1" max="1" width="5.140625" style="84" customWidth="1"/>
    <col min="2" max="2" width="23.7109375" customWidth="1"/>
    <col min="4" max="5" width="10.5703125" bestFit="1" customWidth="1"/>
    <col min="6" max="6" width="11.42578125" customWidth="1"/>
    <col min="7" max="7" width="11.140625" customWidth="1"/>
  </cols>
  <sheetData>
    <row r="1" spans="1:8" ht="15.75">
      <c r="B1" s="222" t="s">
        <v>334</v>
      </c>
      <c r="C1" s="106"/>
      <c r="D1" s="103"/>
      <c r="F1" s="91"/>
    </row>
    <row r="2" spans="1:8" ht="36">
      <c r="A2" s="4" t="s">
        <v>12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416</v>
      </c>
      <c r="G2" s="5" t="s">
        <v>39</v>
      </c>
      <c r="H2" s="30" t="s">
        <v>15</v>
      </c>
    </row>
    <row r="3" spans="1:8">
      <c r="A3" s="4">
        <v>1</v>
      </c>
      <c r="B3" s="62" t="s">
        <v>335</v>
      </c>
      <c r="C3" s="1" t="s">
        <v>111</v>
      </c>
      <c r="D3" s="62">
        <v>80</v>
      </c>
      <c r="E3" s="62">
        <v>100</v>
      </c>
      <c r="F3" s="1">
        <v>100</v>
      </c>
      <c r="G3" s="217">
        <v>50</v>
      </c>
      <c r="H3" s="62">
        <f>D3*G3/1000</f>
        <v>4</v>
      </c>
    </row>
    <row r="4" spans="1:8">
      <c r="A4" s="4">
        <v>2</v>
      </c>
      <c r="B4" s="62" t="s">
        <v>214</v>
      </c>
      <c r="C4" s="1" t="s">
        <v>111</v>
      </c>
      <c r="D4" s="62">
        <v>150</v>
      </c>
      <c r="E4" s="62">
        <v>150</v>
      </c>
      <c r="F4" s="1"/>
      <c r="G4" s="217">
        <v>180</v>
      </c>
      <c r="H4" s="62">
        <f t="shared" ref="H4:H10" si="0">D4*G4/1000</f>
        <v>27</v>
      </c>
    </row>
    <row r="5" spans="1:8">
      <c r="A5" s="4">
        <v>3</v>
      </c>
      <c r="B5" s="62" t="s">
        <v>117</v>
      </c>
      <c r="C5" s="1" t="s">
        <v>111</v>
      </c>
      <c r="D5" s="62">
        <v>1</v>
      </c>
      <c r="E5" s="62">
        <v>1</v>
      </c>
      <c r="F5" s="1"/>
      <c r="G5" s="217">
        <v>30</v>
      </c>
      <c r="H5" s="62">
        <f t="shared" si="0"/>
        <v>0.03</v>
      </c>
    </row>
    <row r="6" spans="1:8">
      <c r="A6" s="4">
        <v>4</v>
      </c>
      <c r="B6" s="62" t="s">
        <v>285</v>
      </c>
      <c r="C6" s="1" t="s">
        <v>111</v>
      </c>
      <c r="D6" s="62">
        <v>1</v>
      </c>
      <c r="E6" s="62">
        <v>1</v>
      </c>
      <c r="F6" s="1"/>
      <c r="G6" s="217">
        <v>580</v>
      </c>
      <c r="H6" s="62">
        <f t="shared" si="0"/>
        <v>0.57999999999999996</v>
      </c>
    </row>
    <row r="7" spans="1:8">
      <c r="A7" s="4">
        <v>5</v>
      </c>
      <c r="B7" s="62" t="s">
        <v>336</v>
      </c>
      <c r="C7" s="1" t="s">
        <v>111</v>
      </c>
      <c r="D7" s="62">
        <v>25</v>
      </c>
      <c r="E7" s="62">
        <v>25</v>
      </c>
      <c r="F7" s="1">
        <v>25</v>
      </c>
      <c r="G7" s="217">
        <v>300</v>
      </c>
      <c r="H7" s="62">
        <f t="shared" si="0"/>
        <v>7.5</v>
      </c>
    </row>
    <row r="8" spans="1:8">
      <c r="A8" s="4">
        <v>6</v>
      </c>
      <c r="B8" s="62" t="s">
        <v>337</v>
      </c>
      <c r="C8" s="1" t="s">
        <v>111</v>
      </c>
      <c r="D8" s="62">
        <v>5</v>
      </c>
      <c r="E8" s="62">
        <v>5</v>
      </c>
      <c r="F8" s="1">
        <v>5</v>
      </c>
      <c r="G8" s="217">
        <v>600</v>
      </c>
      <c r="H8" s="62">
        <f t="shared" si="0"/>
        <v>3</v>
      </c>
    </row>
    <row r="9" spans="1:8">
      <c r="A9" s="4">
        <v>7</v>
      </c>
      <c r="B9" s="62" t="s">
        <v>338</v>
      </c>
      <c r="C9" s="1" t="s">
        <v>111</v>
      </c>
      <c r="D9" s="62">
        <v>5</v>
      </c>
      <c r="E9" s="62">
        <v>5</v>
      </c>
      <c r="F9" s="1">
        <v>5</v>
      </c>
      <c r="G9" s="217">
        <v>600</v>
      </c>
      <c r="H9" s="62">
        <f t="shared" si="0"/>
        <v>3</v>
      </c>
    </row>
    <row r="10" spans="1:8">
      <c r="A10" s="4">
        <v>8</v>
      </c>
      <c r="B10" s="62" t="s">
        <v>339</v>
      </c>
      <c r="C10" s="1" t="s">
        <v>111</v>
      </c>
      <c r="D10" s="62">
        <v>15</v>
      </c>
      <c r="E10" s="62">
        <v>15</v>
      </c>
      <c r="F10" s="1">
        <v>15</v>
      </c>
      <c r="G10" s="217">
        <v>750</v>
      </c>
      <c r="H10" s="62">
        <f t="shared" si="0"/>
        <v>11.25</v>
      </c>
    </row>
    <row r="11" spans="1:8">
      <c r="A11" s="105" t="s">
        <v>340</v>
      </c>
      <c r="B11" s="105"/>
      <c r="C11" s="1"/>
      <c r="D11" s="96">
        <f>SUM(D3:D10)</f>
        <v>282</v>
      </c>
      <c r="E11" s="96">
        <f t="shared" ref="E11:H11" si="1">SUM(E3:E10)</f>
        <v>302</v>
      </c>
      <c r="F11" s="96">
        <f t="shared" si="1"/>
        <v>150</v>
      </c>
      <c r="G11" s="96"/>
      <c r="H11" s="96">
        <f t="shared" si="1"/>
        <v>56.36</v>
      </c>
    </row>
    <row r="12" spans="1:8" ht="19.899999999999999" customHeight="1">
      <c r="C12" s="99"/>
      <c r="D12" s="99"/>
      <c r="G12" s="49" t="s">
        <v>167</v>
      </c>
      <c r="H12" s="12">
        <f>H11*4</f>
        <v>225.44</v>
      </c>
    </row>
    <row r="13" spans="1:8">
      <c r="C13" s="99"/>
      <c r="D13" s="209"/>
      <c r="F13" s="91"/>
      <c r="G13" s="80" t="s">
        <v>14</v>
      </c>
      <c r="H13" s="13">
        <v>250</v>
      </c>
    </row>
    <row r="14" spans="1:8" ht="15.75">
      <c r="B14" s="41" t="s">
        <v>341</v>
      </c>
      <c r="C14" s="106"/>
      <c r="D14" s="103"/>
      <c r="F14" s="91"/>
    </row>
    <row r="15" spans="1:8" ht="36">
      <c r="A15" s="4" t="s">
        <v>12</v>
      </c>
      <c r="B15" s="4" t="s">
        <v>0</v>
      </c>
      <c r="C15" s="4" t="s">
        <v>1</v>
      </c>
      <c r="D15" s="4" t="s">
        <v>2</v>
      </c>
      <c r="E15" s="4" t="s">
        <v>3</v>
      </c>
      <c r="F15" s="4" t="s">
        <v>416</v>
      </c>
      <c r="G15" s="5" t="s">
        <v>39</v>
      </c>
      <c r="H15" s="30" t="s">
        <v>15</v>
      </c>
    </row>
    <row r="16" spans="1:8">
      <c r="A16" s="4">
        <v>1</v>
      </c>
      <c r="B16" s="62" t="s">
        <v>540</v>
      </c>
      <c r="C16" s="1" t="s">
        <v>111</v>
      </c>
      <c r="D16" s="62">
        <v>110</v>
      </c>
      <c r="E16" s="62">
        <v>100</v>
      </c>
      <c r="F16" s="1">
        <v>100</v>
      </c>
      <c r="G16" s="217">
        <v>107</v>
      </c>
      <c r="H16" s="62">
        <f>D16*G16/1000</f>
        <v>11.77</v>
      </c>
    </row>
    <row r="17" spans="1:8">
      <c r="A17" s="4">
        <v>2</v>
      </c>
      <c r="B17" s="62" t="s">
        <v>541</v>
      </c>
      <c r="C17" s="1" t="s">
        <v>111</v>
      </c>
      <c r="D17" s="62">
        <v>110</v>
      </c>
      <c r="E17" s="62">
        <v>110</v>
      </c>
      <c r="F17" s="1"/>
      <c r="G17" s="217">
        <v>50</v>
      </c>
      <c r="H17" s="62">
        <f t="shared" ref="H17:H18" si="2">D17*G17/1000</f>
        <v>5.5</v>
      </c>
    </row>
    <row r="18" spans="1:8">
      <c r="A18" s="4">
        <v>3</v>
      </c>
      <c r="B18" s="62" t="s">
        <v>542</v>
      </c>
      <c r="C18" s="1" t="s">
        <v>111</v>
      </c>
      <c r="D18" s="62">
        <v>110</v>
      </c>
      <c r="E18" s="62">
        <v>110</v>
      </c>
      <c r="F18" s="1"/>
      <c r="G18" s="217">
        <v>80</v>
      </c>
      <c r="H18" s="62">
        <f t="shared" si="2"/>
        <v>8.8000000000000007</v>
      </c>
    </row>
    <row r="19" spans="1:8">
      <c r="A19" s="105" t="s">
        <v>543</v>
      </c>
      <c r="B19" s="105"/>
      <c r="C19" s="96">
        <f>SUM(C16:C16)</f>
        <v>0</v>
      </c>
      <c r="D19" s="105">
        <f>SUM(D16:D18)</f>
        <v>330</v>
      </c>
      <c r="E19" s="105">
        <f t="shared" ref="E19:F19" si="3">SUM(E16:E18)</f>
        <v>320</v>
      </c>
      <c r="F19" s="105">
        <f t="shared" si="3"/>
        <v>100</v>
      </c>
      <c r="G19" s="105"/>
      <c r="H19" s="105">
        <f>SUM(H16:H18)</f>
        <v>26.07</v>
      </c>
    </row>
    <row r="20" spans="1:8" ht="14.45" customHeight="1">
      <c r="G20" s="49" t="s">
        <v>167</v>
      </c>
      <c r="H20" s="12">
        <f>H19*4</f>
        <v>104.28</v>
      </c>
    </row>
    <row r="21" spans="1:8">
      <c r="G21" s="80" t="s">
        <v>14</v>
      </c>
      <c r="H21" s="13">
        <v>150</v>
      </c>
    </row>
    <row r="22" spans="1:8" ht="15.75">
      <c r="B22" s="41" t="s">
        <v>418</v>
      </c>
      <c r="C22" s="106"/>
      <c r="D22" s="103"/>
      <c r="F22" s="91"/>
    </row>
    <row r="23" spans="1:8" ht="36">
      <c r="A23" s="4" t="s">
        <v>12</v>
      </c>
      <c r="B23" s="1" t="s">
        <v>0</v>
      </c>
      <c r="C23" s="1" t="s">
        <v>1</v>
      </c>
      <c r="D23" s="1" t="s">
        <v>2</v>
      </c>
      <c r="E23" s="1" t="s">
        <v>3</v>
      </c>
      <c r="F23" s="1" t="s">
        <v>416</v>
      </c>
      <c r="G23" s="5" t="s">
        <v>39</v>
      </c>
      <c r="H23" s="30" t="s">
        <v>15</v>
      </c>
    </row>
    <row r="24" spans="1:8">
      <c r="A24" s="4">
        <v>1</v>
      </c>
      <c r="B24" s="62" t="s">
        <v>420</v>
      </c>
      <c r="C24" s="1" t="s">
        <v>111</v>
      </c>
      <c r="D24" s="62">
        <v>200</v>
      </c>
      <c r="E24" s="62">
        <v>200</v>
      </c>
      <c r="F24" s="1">
        <v>220</v>
      </c>
      <c r="G24" s="217">
        <v>107</v>
      </c>
      <c r="H24" s="62">
        <f>D24*G24/1000</f>
        <v>21.4</v>
      </c>
    </row>
    <row r="25" spans="1:8">
      <c r="A25" s="4">
        <v>2</v>
      </c>
      <c r="B25" s="63" t="s">
        <v>419</v>
      </c>
      <c r="C25" s="1" t="s">
        <v>111</v>
      </c>
      <c r="D25" s="64">
        <v>30</v>
      </c>
      <c r="E25" s="1">
        <v>30</v>
      </c>
      <c r="F25" s="1"/>
      <c r="G25" s="217">
        <v>150</v>
      </c>
      <c r="H25" s="62">
        <f t="shared" ref="H25:H26" si="4">D25*G25/1000</f>
        <v>4.5</v>
      </c>
    </row>
    <row r="26" spans="1:8">
      <c r="A26" s="4">
        <v>3</v>
      </c>
      <c r="B26" s="63" t="s">
        <v>283</v>
      </c>
      <c r="C26" s="1" t="s">
        <v>111</v>
      </c>
      <c r="D26" s="64">
        <v>30</v>
      </c>
      <c r="E26" s="1">
        <v>30</v>
      </c>
      <c r="F26" s="1">
        <v>30</v>
      </c>
      <c r="G26" s="217">
        <v>400</v>
      </c>
      <c r="H26" s="62">
        <f t="shared" si="4"/>
        <v>12</v>
      </c>
    </row>
    <row r="27" spans="1:8">
      <c r="A27" s="105" t="s">
        <v>421</v>
      </c>
      <c r="B27" s="105"/>
      <c r="C27" s="96">
        <f>SUM(C24:C26)</f>
        <v>0</v>
      </c>
      <c r="D27" s="105">
        <f>SUM(D24:D26)</f>
        <v>260</v>
      </c>
      <c r="E27" s="105">
        <f t="shared" ref="E27:F27" si="5">SUM(E24:E26)</f>
        <v>260</v>
      </c>
      <c r="F27" s="105">
        <f t="shared" si="5"/>
        <v>250</v>
      </c>
      <c r="G27" s="1"/>
      <c r="H27" s="105">
        <f>SUM(H24:H26)</f>
        <v>37.9</v>
      </c>
    </row>
    <row r="28" spans="1:8" ht="19.899999999999999" customHeight="1">
      <c r="G28" s="79" t="s">
        <v>18</v>
      </c>
      <c r="H28" s="257">
        <v>190</v>
      </c>
    </row>
    <row r="29" spans="1:8">
      <c r="G29" s="80" t="s">
        <v>14</v>
      </c>
      <c r="H29" s="50">
        <v>220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H19"/>
  <sheetViews>
    <sheetView topLeftCell="A7" workbookViewId="0">
      <selection activeCell="J11" sqref="J11"/>
    </sheetView>
  </sheetViews>
  <sheetFormatPr defaultColWidth="8.85546875" defaultRowHeight="15"/>
  <cols>
    <col min="1" max="1" width="4.5703125" style="240" customWidth="1"/>
    <col min="2" max="2" width="23.140625" style="226" customWidth="1"/>
    <col min="3" max="3" width="8.85546875" style="226"/>
    <col min="4" max="4" width="12" style="226" bestFit="1" customWidth="1"/>
    <col min="5" max="5" width="10.5703125" style="226" bestFit="1" customWidth="1"/>
    <col min="6" max="6" width="8.85546875" style="226"/>
    <col min="7" max="7" width="10.7109375" style="226" customWidth="1"/>
    <col min="8" max="16384" width="8.85546875" style="226"/>
  </cols>
  <sheetData>
    <row r="1" spans="1:8">
      <c r="C1" s="234" t="s">
        <v>321</v>
      </c>
      <c r="D1" s="234"/>
      <c r="E1" s="235"/>
      <c r="F1" s="227"/>
    </row>
    <row r="2" spans="1:8" ht="36">
      <c r="A2" s="241" t="s">
        <v>12</v>
      </c>
      <c r="B2" s="243" t="s">
        <v>0</v>
      </c>
      <c r="C2" s="242" t="s">
        <v>1</v>
      </c>
      <c r="D2" s="242" t="s">
        <v>2</v>
      </c>
      <c r="E2" s="242" t="s">
        <v>3</v>
      </c>
      <c r="F2" s="242" t="s">
        <v>416</v>
      </c>
      <c r="G2" s="229" t="s">
        <v>39</v>
      </c>
      <c r="H2" s="230" t="s">
        <v>15</v>
      </c>
    </row>
    <row r="3" spans="1:8">
      <c r="A3" s="241">
        <v>1</v>
      </c>
      <c r="B3" s="236" t="s">
        <v>322</v>
      </c>
      <c r="C3" s="228" t="s">
        <v>111</v>
      </c>
      <c r="D3" s="237">
        <v>200</v>
      </c>
      <c r="E3" s="237">
        <v>150</v>
      </c>
      <c r="F3" s="228">
        <v>150</v>
      </c>
      <c r="G3" s="231">
        <v>150</v>
      </c>
      <c r="H3" s="232">
        <f>D3*G3/1000</f>
        <v>30</v>
      </c>
    </row>
    <row r="4" spans="1:8">
      <c r="A4" s="241">
        <v>2</v>
      </c>
      <c r="B4" s="236" t="s">
        <v>323</v>
      </c>
      <c r="C4" s="228" t="s">
        <v>111</v>
      </c>
      <c r="D4" s="237">
        <v>150</v>
      </c>
      <c r="E4" s="237">
        <v>75</v>
      </c>
      <c r="F4" s="228">
        <v>75</v>
      </c>
      <c r="G4" s="231">
        <v>180</v>
      </c>
      <c r="H4" s="232">
        <f t="shared" ref="H4:H8" si="0">D4*G4/1000</f>
        <v>27</v>
      </c>
    </row>
    <row r="5" spans="1:8">
      <c r="A5" s="241">
        <v>3</v>
      </c>
      <c r="B5" s="236" t="s">
        <v>324</v>
      </c>
      <c r="C5" s="228" t="s">
        <v>111</v>
      </c>
      <c r="D5" s="237">
        <v>100</v>
      </c>
      <c r="E5" s="237">
        <v>75</v>
      </c>
      <c r="F5" s="228">
        <v>75</v>
      </c>
      <c r="G5" s="231">
        <v>200</v>
      </c>
      <c r="H5" s="232">
        <f t="shared" si="0"/>
        <v>20</v>
      </c>
    </row>
    <row r="6" spans="1:8">
      <c r="A6" s="241">
        <v>4</v>
      </c>
      <c r="B6" s="236" t="s">
        <v>325</v>
      </c>
      <c r="C6" s="228" t="s">
        <v>111</v>
      </c>
      <c r="D6" s="237">
        <v>80</v>
      </c>
      <c r="E6" s="237">
        <v>70</v>
      </c>
      <c r="F6" s="228">
        <v>70</v>
      </c>
      <c r="G6" s="231">
        <v>284</v>
      </c>
      <c r="H6" s="232">
        <f t="shared" si="0"/>
        <v>22.72</v>
      </c>
    </row>
    <row r="7" spans="1:8">
      <c r="A7" s="241">
        <v>6</v>
      </c>
      <c r="B7" s="236" t="s">
        <v>327</v>
      </c>
      <c r="C7" s="228" t="s">
        <v>111</v>
      </c>
      <c r="D7" s="237">
        <v>2</v>
      </c>
      <c r="E7" s="237">
        <v>2</v>
      </c>
      <c r="F7" s="228"/>
      <c r="G7" s="231">
        <v>500</v>
      </c>
      <c r="H7" s="232">
        <f t="shared" si="0"/>
        <v>1</v>
      </c>
    </row>
    <row r="8" spans="1:8">
      <c r="A8" s="241">
        <v>7</v>
      </c>
      <c r="B8" s="236" t="s">
        <v>328</v>
      </c>
      <c r="C8" s="228" t="s">
        <v>111</v>
      </c>
      <c r="D8" s="237">
        <v>3</v>
      </c>
      <c r="E8" s="237">
        <v>3</v>
      </c>
      <c r="F8" s="228"/>
      <c r="G8" s="231">
        <v>85</v>
      </c>
      <c r="H8" s="232">
        <f t="shared" si="0"/>
        <v>0.255</v>
      </c>
    </row>
    <row r="9" spans="1:8">
      <c r="A9" s="353" t="s">
        <v>329</v>
      </c>
      <c r="B9" s="353"/>
      <c r="C9" s="228"/>
      <c r="D9" s="233">
        <f>SUM(D3:D8)</f>
        <v>535</v>
      </c>
      <c r="E9" s="233">
        <f>SUM(E3:E8)</f>
        <v>375</v>
      </c>
      <c r="F9" s="233">
        <f>SUM(F3:F8)</f>
        <v>370</v>
      </c>
      <c r="G9" s="233"/>
      <c r="H9" s="232">
        <f>SUM(H3:H8)</f>
        <v>100.97499999999999</v>
      </c>
    </row>
    <row r="10" spans="1:8">
      <c r="A10" s="244"/>
      <c r="B10" s="244"/>
      <c r="D10" s="234"/>
      <c r="E10" s="234"/>
      <c r="G10" s="79" t="s">
        <v>28</v>
      </c>
      <c r="H10" s="12">
        <f>H9*3</f>
        <v>302.92499999999995</v>
      </c>
    </row>
    <row r="11" spans="1:8" ht="24">
      <c r="A11" s="244"/>
      <c r="B11" s="244"/>
      <c r="D11" s="234"/>
      <c r="E11" s="234"/>
      <c r="G11" s="80" t="s">
        <v>14</v>
      </c>
      <c r="H11" s="13">
        <v>450</v>
      </c>
    </row>
    <row r="12" spans="1:8">
      <c r="C12" s="239" t="s">
        <v>330</v>
      </c>
      <c r="D12" s="234"/>
      <c r="F12" s="227"/>
    </row>
    <row r="13" spans="1:8" ht="36">
      <c r="A13" s="241" t="s">
        <v>12</v>
      </c>
      <c r="B13" s="243" t="s">
        <v>0</v>
      </c>
      <c r="C13" s="242" t="s">
        <v>1</v>
      </c>
      <c r="D13" s="242" t="s">
        <v>2</v>
      </c>
      <c r="E13" s="242" t="s">
        <v>3</v>
      </c>
      <c r="F13" s="242" t="s">
        <v>416</v>
      </c>
      <c r="G13" s="229" t="s">
        <v>39</v>
      </c>
      <c r="H13" s="230" t="s">
        <v>15</v>
      </c>
    </row>
    <row r="14" spans="1:8">
      <c r="A14" s="241">
        <v>1</v>
      </c>
      <c r="B14" s="236" t="s">
        <v>331</v>
      </c>
      <c r="C14" s="228" t="s">
        <v>111</v>
      </c>
      <c r="D14" s="237">
        <v>150</v>
      </c>
      <c r="E14" s="238">
        <v>150</v>
      </c>
      <c r="F14" s="228">
        <v>150</v>
      </c>
      <c r="G14" s="231">
        <f>2700/3</f>
        <v>900</v>
      </c>
      <c r="H14" s="232">
        <f>D14*G14/1000</f>
        <v>135</v>
      </c>
    </row>
    <row r="15" spans="1:8">
      <c r="A15" s="241">
        <v>2</v>
      </c>
      <c r="B15" s="236" t="s">
        <v>332</v>
      </c>
      <c r="C15" s="228" t="s">
        <v>111</v>
      </c>
      <c r="D15" s="237">
        <v>5</v>
      </c>
      <c r="E15" s="238">
        <v>5</v>
      </c>
      <c r="F15" s="228"/>
      <c r="G15" s="231">
        <v>1500</v>
      </c>
      <c r="H15" s="232">
        <f t="shared" ref="H15:H16" si="1">D15*G15/1000</f>
        <v>7.5</v>
      </c>
    </row>
    <row r="16" spans="1:8">
      <c r="A16" s="241">
        <v>3</v>
      </c>
      <c r="B16" s="236" t="s">
        <v>275</v>
      </c>
      <c r="C16" s="228" t="s">
        <v>111</v>
      </c>
      <c r="D16" s="237">
        <v>2</v>
      </c>
      <c r="E16" s="238">
        <v>1</v>
      </c>
      <c r="F16" s="228"/>
      <c r="G16" s="231">
        <v>500</v>
      </c>
      <c r="H16" s="232">
        <f t="shared" si="1"/>
        <v>1</v>
      </c>
    </row>
    <row r="17" spans="1:8">
      <c r="A17" s="353" t="s">
        <v>333</v>
      </c>
      <c r="B17" s="353"/>
      <c r="C17" s="228"/>
      <c r="D17" s="233">
        <f>SUM(D14:D16)</f>
        <v>157</v>
      </c>
      <c r="E17" s="233">
        <f>SUM(E14:E16)</f>
        <v>156</v>
      </c>
      <c r="F17" s="228">
        <v>150</v>
      </c>
      <c r="G17" s="233"/>
      <c r="H17" s="233">
        <f>SUM(H14:H16)</f>
        <v>143.5</v>
      </c>
    </row>
    <row r="18" spans="1:8">
      <c r="G18" s="79" t="s">
        <v>60</v>
      </c>
      <c r="H18" s="12">
        <f>H17*2</f>
        <v>287</v>
      </c>
    </row>
    <row r="19" spans="1:8" ht="24">
      <c r="G19" s="80" t="s">
        <v>14</v>
      </c>
      <c r="H19" s="13">
        <v>290</v>
      </c>
    </row>
  </sheetData>
  <mergeCells count="2">
    <mergeCell ref="A9:B9"/>
    <mergeCell ref="A17:B1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topLeftCell="A73" workbookViewId="0">
      <selection activeCell="J84" sqref="J84"/>
    </sheetView>
  </sheetViews>
  <sheetFormatPr defaultColWidth="8.85546875" defaultRowHeight="15"/>
  <cols>
    <col min="1" max="1" width="6" style="284" customWidth="1"/>
    <col min="2" max="2" width="23.140625" style="265" customWidth="1"/>
    <col min="3" max="3" width="9.7109375" style="265" customWidth="1"/>
    <col min="4" max="4" width="12" style="265" bestFit="1" customWidth="1"/>
    <col min="5" max="16384" width="8.85546875" style="265"/>
  </cols>
  <sheetData>
    <row r="1" spans="1:8">
      <c r="D1" s="266"/>
      <c r="E1" s="266"/>
      <c r="H1" s="267"/>
    </row>
    <row r="2" spans="1:8">
      <c r="B2" s="265" t="s">
        <v>422</v>
      </c>
      <c r="D2" s="106" t="s">
        <v>555</v>
      </c>
      <c r="E2" s="103"/>
      <c r="F2" s="268"/>
      <c r="H2" s="267"/>
    </row>
    <row r="3" spans="1:8" ht="30">
      <c r="A3" s="285" t="s">
        <v>423</v>
      </c>
      <c r="B3" s="287" t="s">
        <v>424</v>
      </c>
      <c r="C3" s="288" t="s">
        <v>425</v>
      </c>
      <c r="D3" s="289" t="s">
        <v>426</v>
      </c>
      <c r="E3" s="289" t="s">
        <v>427</v>
      </c>
      <c r="F3" s="290" t="s">
        <v>428</v>
      </c>
      <c r="G3" s="142" t="s">
        <v>429</v>
      </c>
      <c r="H3" s="269" t="s">
        <v>430</v>
      </c>
    </row>
    <row r="4" spans="1:8">
      <c r="A4" s="286">
        <v>1</v>
      </c>
      <c r="B4" s="270" t="s">
        <v>431</v>
      </c>
      <c r="C4" s="174">
        <v>850</v>
      </c>
      <c r="D4" s="279">
        <v>1.1000000000000001</v>
      </c>
      <c r="E4" s="279">
        <v>1</v>
      </c>
      <c r="F4" s="280">
        <f t="shared" ref="F4:F9" si="0">D4*C4</f>
        <v>935.00000000000011</v>
      </c>
      <c r="G4" s="270"/>
      <c r="H4" s="271"/>
    </row>
    <row r="5" spans="1:8">
      <c r="A5" s="286">
        <v>2</v>
      </c>
      <c r="B5" s="270" t="s">
        <v>117</v>
      </c>
      <c r="C5" s="18">
        <v>30</v>
      </c>
      <c r="D5" s="279">
        <v>1.2E-2</v>
      </c>
      <c r="E5" s="279"/>
      <c r="F5" s="280">
        <f t="shared" si="0"/>
        <v>0.36</v>
      </c>
      <c r="G5" s="270"/>
      <c r="H5" s="272"/>
    </row>
    <row r="6" spans="1:8">
      <c r="A6" s="286">
        <v>3</v>
      </c>
      <c r="B6" s="270" t="s">
        <v>215</v>
      </c>
      <c r="C6" s="18">
        <v>600</v>
      </c>
      <c r="D6" s="279">
        <v>3.0000000000000001E-3</v>
      </c>
      <c r="E6" s="279"/>
      <c r="F6" s="280">
        <f t="shared" si="0"/>
        <v>1.8</v>
      </c>
      <c r="G6" s="270"/>
      <c r="H6" s="272"/>
    </row>
    <row r="7" spans="1:8">
      <c r="A7" s="286">
        <v>4</v>
      </c>
      <c r="B7" s="270" t="s">
        <v>264</v>
      </c>
      <c r="C7" s="18">
        <v>30</v>
      </c>
      <c r="D7" s="279">
        <v>0.4</v>
      </c>
      <c r="E7" s="279">
        <v>0.35</v>
      </c>
      <c r="F7" s="280">
        <f t="shared" si="0"/>
        <v>12</v>
      </c>
      <c r="G7" s="270"/>
      <c r="H7" s="272"/>
    </row>
    <row r="8" spans="1:8">
      <c r="A8" s="286">
        <v>5</v>
      </c>
      <c r="B8" s="270" t="s">
        <v>432</v>
      </c>
      <c r="C8" s="18">
        <v>240</v>
      </c>
      <c r="D8" s="279">
        <v>2E-3</v>
      </c>
      <c r="E8" s="279"/>
      <c r="F8" s="280">
        <f t="shared" si="0"/>
        <v>0.48</v>
      </c>
      <c r="G8" s="270"/>
      <c r="H8" s="272"/>
    </row>
    <row r="9" spans="1:8" ht="15.75" thickBot="1">
      <c r="A9" s="286">
        <v>6</v>
      </c>
      <c r="B9" s="270" t="s">
        <v>137</v>
      </c>
      <c r="C9" s="18">
        <v>250</v>
      </c>
      <c r="D9" s="279">
        <v>5.0000000000000001E-3</v>
      </c>
      <c r="E9" s="279"/>
      <c r="F9" s="280">
        <f t="shared" si="0"/>
        <v>1.25</v>
      </c>
      <c r="G9" s="270"/>
      <c r="H9" s="272" t="s">
        <v>451</v>
      </c>
    </row>
    <row r="10" spans="1:8" ht="15.75" thickBot="1">
      <c r="A10" s="354" t="s">
        <v>565</v>
      </c>
      <c r="B10" s="355"/>
      <c r="C10" s="164" t="s">
        <v>268</v>
      </c>
      <c r="D10" s="148">
        <f>SUM(D4:D9)</f>
        <v>1.522</v>
      </c>
      <c r="E10" s="148">
        <f>SUM(E4:E9)</f>
        <v>1.35</v>
      </c>
      <c r="F10" s="281">
        <f>SUM(F4:F9)</f>
        <v>950.8900000000001</v>
      </c>
      <c r="G10" s="164"/>
      <c r="H10" s="273">
        <f>F10/E10</f>
        <v>704.36296296296302</v>
      </c>
    </row>
    <row r="11" spans="1:8">
      <c r="D11" s="266"/>
      <c r="E11" s="266">
        <f>E10/0.12</f>
        <v>11.250000000000002</v>
      </c>
      <c r="F11" s="268">
        <f>F10/11</f>
        <v>86.444545454545462</v>
      </c>
      <c r="H11" s="267"/>
    </row>
    <row r="12" spans="1:8">
      <c r="B12" s="265" t="s">
        <v>422</v>
      </c>
      <c r="D12" s="106" t="s">
        <v>556</v>
      </c>
      <c r="E12" s="103"/>
      <c r="F12" s="268"/>
      <c r="H12" s="267"/>
    </row>
    <row r="13" spans="1:8" ht="30">
      <c r="A13" s="285" t="s">
        <v>423</v>
      </c>
      <c r="B13" s="287" t="s">
        <v>424</v>
      </c>
      <c r="C13" s="288" t="s">
        <v>425</v>
      </c>
      <c r="D13" s="289" t="s">
        <v>426</v>
      </c>
      <c r="E13" s="289" t="s">
        <v>427</v>
      </c>
      <c r="F13" s="290" t="s">
        <v>428</v>
      </c>
      <c r="G13" s="142" t="s">
        <v>429</v>
      </c>
      <c r="H13" s="269" t="s">
        <v>430</v>
      </c>
    </row>
    <row r="14" spans="1:8">
      <c r="A14" s="286">
        <v>1</v>
      </c>
      <c r="B14" s="270" t="s">
        <v>213</v>
      </c>
      <c r="C14" s="174">
        <v>330</v>
      </c>
      <c r="D14" s="279">
        <v>1.1000000000000001</v>
      </c>
      <c r="E14" s="279">
        <v>1</v>
      </c>
      <c r="F14" s="280">
        <f t="shared" ref="F14:F19" si="1">D14*C14</f>
        <v>363.00000000000006</v>
      </c>
      <c r="G14" s="270"/>
      <c r="H14" s="271"/>
    </row>
    <row r="15" spans="1:8">
      <c r="A15" s="286">
        <v>2</v>
      </c>
      <c r="B15" s="270" t="s">
        <v>117</v>
      </c>
      <c r="C15" s="18">
        <v>30</v>
      </c>
      <c r="D15" s="279">
        <v>1.2E-2</v>
      </c>
      <c r="E15" s="279">
        <v>1.2E-2</v>
      </c>
      <c r="F15" s="280">
        <f t="shared" si="1"/>
        <v>0.36</v>
      </c>
      <c r="G15" s="270"/>
      <c r="H15" s="272"/>
    </row>
    <row r="16" spans="1:8">
      <c r="A16" s="286">
        <v>3</v>
      </c>
      <c r="B16" s="270" t="s">
        <v>215</v>
      </c>
      <c r="C16" s="18">
        <v>600</v>
      </c>
      <c r="D16" s="279">
        <v>3.0000000000000001E-3</v>
      </c>
      <c r="E16" s="279">
        <v>3.0000000000000001E-3</v>
      </c>
      <c r="F16" s="280">
        <f t="shared" si="1"/>
        <v>1.8</v>
      </c>
      <c r="G16" s="270"/>
      <c r="H16" s="272"/>
    </row>
    <row r="17" spans="1:8">
      <c r="A17" s="286">
        <v>4</v>
      </c>
      <c r="B17" s="270" t="s">
        <v>526</v>
      </c>
      <c r="C17" s="18">
        <v>250</v>
      </c>
      <c r="D17" s="279">
        <v>0.25</v>
      </c>
      <c r="E17" s="279">
        <v>0.21</v>
      </c>
      <c r="F17" s="280">
        <f t="shared" si="1"/>
        <v>62.5</v>
      </c>
      <c r="G17" s="270"/>
      <c r="H17" s="272"/>
    </row>
    <row r="18" spans="1:8">
      <c r="A18" s="286">
        <v>5</v>
      </c>
      <c r="B18" s="270" t="s">
        <v>432</v>
      </c>
      <c r="C18" s="18">
        <v>240</v>
      </c>
      <c r="D18" s="279">
        <v>2E-3</v>
      </c>
      <c r="E18" s="279">
        <v>2E-3</v>
      </c>
      <c r="F18" s="280">
        <f t="shared" si="1"/>
        <v>0.48</v>
      </c>
      <c r="G18" s="270"/>
      <c r="H18" s="272"/>
    </row>
    <row r="19" spans="1:8" ht="15.75" thickBot="1">
      <c r="A19" s="286">
        <v>6</v>
      </c>
      <c r="B19" s="270" t="s">
        <v>390</v>
      </c>
      <c r="C19" s="18">
        <v>210</v>
      </c>
      <c r="D19" s="279">
        <v>0.2</v>
      </c>
      <c r="E19" s="279"/>
      <c r="F19" s="280">
        <f t="shared" si="1"/>
        <v>42</v>
      </c>
      <c r="G19" s="270"/>
      <c r="H19" s="272" t="s">
        <v>451</v>
      </c>
    </row>
    <row r="20" spans="1:8" ht="15.75" thickBot="1">
      <c r="A20" s="354" t="s">
        <v>567</v>
      </c>
      <c r="B20" s="355"/>
      <c r="C20" s="164" t="s">
        <v>268</v>
      </c>
      <c r="D20" s="148">
        <f>SUM(D14:D19)</f>
        <v>1.5669999999999999</v>
      </c>
      <c r="E20" s="148">
        <f>SUM(E14:E19)</f>
        <v>1.2269999999999999</v>
      </c>
      <c r="F20" s="149">
        <f>SUM(F14:F19)</f>
        <v>470.1400000000001</v>
      </c>
      <c r="G20" s="164"/>
      <c r="H20" s="273">
        <f>F20/E20</f>
        <v>383.1621841890792</v>
      </c>
    </row>
    <row r="21" spans="1:8">
      <c r="A21" s="101"/>
      <c r="B21" s="102"/>
      <c r="C21" s="102"/>
      <c r="D21" s="103"/>
      <c r="E21" s="103"/>
      <c r="F21" s="104">
        <f>F20/8</f>
        <v>58.767500000000013</v>
      </c>
      <c r="G21" s="110"/>
      <c r="H21" s="274"/>
    </row>
    <row r="22" spans="1:8">
      <c r="B22" s="265" t="s">
        <v>422</v>
      </c>
      <c r="D22" s="106" t="s">
        <v>434</v>
      </c>
      <c r="E22" s="103"/>
      <c r="F22" s="268"/>
      <c r="H22" s="267"/>
    </row>
    <row r="23" spans="1:8" ht="30">
      <c r="A23" s="285" t="s">
        <v>423</v>
      </c>
      <c r="B23" s="138" t="s">
        <v>424</v>
      </c>
      <c r="C23" s="139" t="s">
        <v>425</v>
      </c>
      <c r="D23" s="140" t="s">
        <v>426</v>
      </c>
      <c r="E23" s="140" t="s">
        <v>427</v>
      </c>
      <c r="F23" s="141" t="s">
        <v>428</v>
      </c>
      <c r="G23" s="142" t="s">
        <v>429</v>
      </c>
      <c r="H23" s="269" t="s">
        <v>430</v>
      </c>
    </row>
    <row r="24" spans="1:8">
      <c r="A24" s="286">
        <v>1</v>
      </c>
      <c r="B24" s="270" t="s">
        <v>435</v>
      </c>
      <c r="C24" s="174">
        <v>850</v>
      </c>
      <c r="D24" s="279">
        <v>1.8</v>
      </c>
      <c r="E24" s="279">
        <v>1</v>
      </c>
      <c r="F24" s="280">
        <f>D24*C24</f>
        <v>1530</v>
      </c>
      <c r="G24" s="270"/>
      <c r="H24" s="271"/>
    </row>
    <row r="25" spans="1:8">
      <c r="A25" s="286">
        <v>2</v>
      </c>
      <c r="B25" s="270" t="s">
        <v>117</v>
      </c>
      <c r="C25" s="18">
        <v>30</v>
      </c>
      <c r="D25" s="279">
        <v>0.02</v>
      </c>
      <c r="E25" s="279"/>
      <c r="F25" s="280">
        <f t="shared" ref="F25:F29" si="2">D25*C25</f>
        <v>0.6</v>
      </c>
      <c r="G25" s="270"/>
      <c r="H25" s="272"/>
    </row>
    <row r="26" spans="1:8">
      <c r="A26" s="286">
        <v>3</v>
      </c>
      <c r="B26" s="270" t="s">
        <v>215</v>
      </c>
      <c r="C26" s="18">
        <v>600</v>
      </c>
      <c r="D26" s="279">
        <v>0.01</v>
      </c>
      <c r="E26" s="279"/>
      <c r="F26" s="280">
        <f t="shared" si="2"/>
        <v>6</v>
      </c>
      <c r="G26" s="270"/>
      <c r="H26" s="272"/>
    </row>
    <row r="27" spans="1:8">
      <c r="A27" s="286">
        <v>4</v>
      </c>
      <c r="B27" s="270" t="s">
        <v>264</v>
      </c>
      <c r="C27" s="18">
        <v>30</v>
      </c>
      <c r="D27" s="279">
        <v>0.12</v>
      </c>
      <c r="E27" s="279"/>
      <c r="F27" s="280">
        <f t="shared" si="2"/>
        <v>3.5999999999999996</v>
      </c>
      <c r="G27" s="270"/>
      <c r="H27" s="272"/>
    </row>
    <row r="28" spans="1:8">
      <c r="A28" s="286">
        <v>5</v>
      </c>
      <c r="B28" s="270" t="s">
        <v>432</v>
      </c>
      <c r="C28" s="18">
        <v>240</v>
      </c>
      <c r="D28" s="279">
        <v>0.01</v>
      </c>
      <c r="E28" s="279"/>
      <c r="F28" s="280">
        <f t="shared" si="2"/>
        <v>2.4</v>
      </c>
      <c r="G28" s="270"/>
      <c r="H28" s="272"/>
    </row>
    <row r="29" spans="1:8" ht="15.75" thickBot="1">
      <c r="A29" s="286">
        <v>6</v>
      </c>
      <c r="B29" s="270" t="s">
        <v>287</v>
      </c>
      <c r="C29" s="18"/>
      <c r="D29" s="279">
        <v>3</v>
      </c>
      <c r="E29" s="279"/>
      <c r="F29" s="280">
        <f t="shared" si="2"/>
        <v>0</v>
      </c>
      <c r="G29" s="270"/>
      <c r="H29" s="272" t="s">
        <v>451</v>
      </c>
    </row>
    <row r="30" spans="1:8" ht="15.75" thickBot="1">
      <c r="A30" s="354" t="s">
        <v>10</v>
      </c>
      <c r="B30" s="355"/>
      <c r="C30" s="164" t="s">
        <v>268</v>
      </c>
      <c r="D30" s="148">
        <f>SUM(D24:D29)</f>
        <v>4.96</v>
      </c>
      <c r="E30" s="148">
        <f>SUM(E24:E29)</f>
        <v>1</v>
      </c>
      <c r="F30" s="281">
        <f>SUM(F24:F29)</f>
        <v>1542.6</v>
      </c>
      <c r="G30" s="164"/>
      <c r="H30" s="273">
        <f>F30/E30</f>
        <v>1542.6</v>
      </c>
    </row>
    <row r="31" spans="1:8">
      <c r="D31" s="266"/>
      <c r="E31" s="266"/>
      <c r="H31" s="267"/>
    </row>
    <row r="32" spans="1:8">
      <c r="B32" s="265" t="s">
        <v>422</v>
      </c>
      <c r="D32" s="106" t="s">
        <v>436</v>
      </c>
      <c r="E32" s="103"/>
      <c r="F32" s="268"/>
      <c r="H32" s="267"/>
    </row>
    <row r="33" spans="1:8" ht="30">
      <c r="A33" s="285" t="s">
        <v>423</v>
      </c>
      <c r="B33" s="138" t="s">
        <v>424</v>
      </c>
      <c r="C33" s="139" t="s">
        <v>425</v>
      </c>
      <c r="D33" s="140" t="s">
        <v>426</v>
      </c>
      <c r="E33" s="140" t="s">
        <v>427</v>
      </c>
      <c r="F33" s="141" t="s">
        <v>428</v>
      </c>
      <c r="G33" s="142" t="s">
        <v>429</v>
      </c>
      <c r="H33" s="269" t="s">
        <v>430</v>
      </c>
    </row>
    <row r="34" spans="1:8">
      <c r="A34" s="286">
        <v>1</v>
      </c>
      <c r="B34" s="270" t="s">
        <v>437</v>
      </c>
      <c r="C34" s="93">
        <v>850</v>
      </c>
      <c r="D34" s="279">
        <v>0.08</v>
      </c>
      <c r="E34" s="279">
        <v>0.05</v>
      </c>
      <c r="F34" s="94">
        <f t="shared" ref="F34:F42" si="3">D34*C34</f>
        <v>68</v>
      </c>
      <c r="G34" s="270"/>
      <c r="H34" s="271"/>
    </row>
    <row r="35" spans="1:8">
      <c r="A35" s="286">
        <v>2</v>
      </c>
      <c r="B35" s="270" t="s">
        <v>438</v>
      </c>
      <c r="C35" s="93">
        <v>19</v>
      </c>
      <c r="D35" s="279">
        <v>2E-3</v>
      </c>
      <c r="E35" s="279"/>
      <c r="F35" s="94">
        <f t="shared" si="3"/>
        <v>3.7999999999999999E-2</v>
      </c>
      <c r="G35" s="270"/>
      <c r="H35" s="272"/>
    </row>
    <row r="36" spans="1:8">
      <c r="A36" s="286">
        <v>3</v>
      </c>
      <c r="B36" s="270" t="s">
        <v>439</v>
      </c>
      <c r="C36" s="93">
        <v>600</v>
      </c>
      <c r="D36" s="279">
        <v>1E-3</v>
      </c>
      <c r="E36" s="279"/>
      <c r="F36" s="94">
        <f t="shared" si="3"/>
        <v>0.6</v>
      </c>
      <c r="G36" s="270"/>
      <c r="H36" s="272"/>
    </row>
    <row r="37" spans="1:8">
      <c r="A37" s="286">
        <v>4</v>
      </c>
      <c r="B37" s="270" t="s">
        <v>440</v>
      </c>
      <c r="C37" s="93">
        <v>17</v>
      </c>
      <c r="D37" s="279">
        <v>0.04</v>
      </c>
      <c r="E37" s="279"/>
      <c r="F37" s="94">
        <f t="shared" si="3"/>
        <v>0.68</v>
      </c>
      <c r="G37" s="270"/>
      <c r="H37" s="271">
        <v>0.3</v>
      </c>
    </row>
    <row r="38" spans="1:8">
      <c r="A38" s="286">
        <v>5</v>
      </c>
      <c r="B38" s="282" t="s">
        <v>441</v>
      </c>
      <c r="C38" s="59">
        <v>250</v>
      </c>
      <c r="D38" s="279">
        <v>0.01</v>
      </c>
      <c r="E38" s="162">
        <v>5.0000000000000001E-3</v>
      </c>
      <c r="F38" s="94">
        <f t="shared" si="3"/>
        <v>2.5</v>
      </c>
      <c r="G38" s="270"/>
      <c r="H38" s="271">
        <v>0.2</v>
      </c>
    </row>
    <row r="39" spans="1:8">
      <c r="A39" s="286">
        <v>6</v>
      </c>
      <c r="B39" s="270" t="s">
        <v>442</v>
      </c>
      <c r="C39" s="93">
        <v>39</v>
      </c>
      <c r="D39" s="279">
        <v>0.1</v>
      </c>
      <c r="E39" s="279">
        <v>0.1</v>
      </c>
      <c r="F39" s="94">
        <f t="shared" si="3"/>
        <v>3.9000000000000004</v>
      </c>
      <c r="G39" s="270"/>
      <c r="H39" s="272"/>
    </row>
    <row r="40" spans="1:8">
      <c r="A40" s="286">
        <v>7</v>
      </c>
      <c r="B40" s="275" t="s">
        <v>443</v>
      </c>
      <c r="C40" s="186">
        <v>185</v>
      </c>
      <c r="D40" s="283">
        <v>5.0000000000000001E-3</v>
      </c>
      <c r="E40" s="283">
        <v>5.0000000000000001E-3</v>
      </c>
      <c r="F40" s="94">
        <f t="shared" si="3"/>
        <v>0.92500000000000004</v>
      </c>
      <c r="G40" s="275"/>
      <c r="H40" s="276"/>
    </row>
    <row r="41" spans="1:8">
      <c r="A41" s="286">
        <v>8</v>
      </c>
      <c r="B41" s="275" t="s">
        <v>444</v>
      </c>
      <c r="C41" s="186">
        <v>19</v>
      </c>
      <c r="D41" s="283">
        <v>1E-3</v>
      </c>
      <c r="E41" s="283">
        <v>1E-3</v>
      </c>
      <c r="F41" s="94">
        <f t="shared" si="3"/>
        <v>1.9E-2</v>
      </c>
      <c r="G41" s="275"/>
      <c r="H41" s="276"/>
    </row>
    <row r="42" spans="1:8" ht="15.75" thickBot="1">
      <c r="A42" s="286">
        <v>9</v>
      </c>
      <c r="B42" s="275" t="s">
        <v>445</v>
      </c>
      <c r="C42" s="186"/>
      <c r="D42" s="283">
        <v>0.02</v>
      </c>
      <c r="E42" s="283">
        <v>0.02</v>
      </c>
      <c r="F42" s="94">
        <f t="shared" si="3"/>
        <v>0</v>
      </c>
      <c r="G42" s="275"/>
      <c r="H42" s="276"/>
    </row>
    <row r="43" spans="1:8" ht="15.75" thickBot="1">
      <c r="A43" s="354" t="s">
        <v>568</v>
      </c>
      <c r="B43" s="355"/>
      <c r="C43" s="164" t="s">
        <v>268</v>
      </c>
      <c r="D43" s="148">
        <f>SUM(D34:D42)</f>
        <v>0.25900000000000001</v>
      </c>
      <c r="E43" s="148">
        <f>SUM(E34:E42)</f>
        <v>0.18099999999999999</v>
      </c>
      <c r="F43" s="277">
        <f>SUM(F34:F42)</f>
        <v>76.662000000000006</v>
      </c>
      <c r="G43" s="164"/>
      <c r="H43" s="273">
        <f>F43/E43</f>
        <v>423.54696132596689</v>
      </c>
    </row>
    <row r="44" spans="1:8">
      <c r="D44" s="266"/>
      <c r="E44" s="266"/>
      <c r="F44" s="268"/>
      <c r="H44" s="267"/>
    </row>
    <row r="45" spans="1:8">
      <c r="B45" s="265" t="s">
        <v>422</v>
      </c>
      <c r="D45" s="106" t="s">
        <v>446</v>
      </c>
      <c r="E45" s="103"/>
      <c r="F45" s="268"/>
      <c r="H45" s="267"/>
    </row>
    <row r="46" spans="1:8" ht="30">
      <c r="A46" s="285" t="s">
        <v>423</v>
      </c>
      <c r="B46" s="138" t="s">
        <v>424</v>
      </c>
      <c r="C46" s="139" t="s">
        <v>425</v>
      </c>
      <c r="D46" s="140" t="s">
        <v>426</v>
      </c>
      <c r="E46" s="140" t="s">
        <v>427</v>
      </c>
      <c r="F46" s="141" t="s">
        <v>428</v>
      </c>
      <c r="G46" s="142" t="s">
        <v>429</v>
      </c>
      <c r="H46" s="269" t="s">
        <v>430</v>
      </c>
    </row>
    <row r="47" spans="1:8">
      <c r="A47" s="286">
        <v>1</v>
      </c>
      <c r="B47" s="270" t="s">
        <v>447</v>
      </c>
      <c r="C47" s="93">
        <v>370</v>
      </c>
      <c r="D47" s="279">
        <v>0.25</v>
      </c>
      <c r="E47" s="279">
        <v>0.2</v>
      </c>
      <c r="F47" s="94">
        <f t="shared" ref="F47:F54" si="4">D47*C47</f>
        <v>92.5</v>
      </c>
      <c r="G47" s="270"/>
      <c r="H47" s="271"/>
    </row>
    <row r="48" spans="1:8">
      <c r="A48" s="286">
        <v>2</v>
      </c>
      <c r="B48" s="270" t="s">
        <v>137</v>
      </c>
      <c r="C48" s="93">
        <v>250</v>
      </c>
      <c r="D48" s="279">
        <v>2E-3</v>
      </c>
      <c r="E48" s="279"/>
      <c r="F48" s="94">
        <f t="shared" si="4"/>
        <v>0.5</v>
      </c>
      <c r="G48" s="270"/>
      <c r="H48" s="272"/>
    </row>
    <row r="49" spans="1:8">
      <c r="A49" s="286">
        <v>3</v>
      </c>
      <c r="B49" s="270" t="s">
        <v>117</v>
      </c>
      <c r="C49" s="93">
        <v>30</v>
      </c>
      <c r="D49" s="279">
        <v>2E-3</v>
      </c>
      <c r="E49" s="279"/>
      <c r="F49" s="94">
        <f t="shared" si="4"/>
        <v>0.06</v>
      </c>
      <c r="G49" s="270"/>
      <c r="H49" s="272"/>
    </row>
    <row r="50" spans="1:8">
      <c r="A50" s="286">
        <v>4</v>
      </c>
      <c r="B50" s="270" t="s">
        <v>448</v>
      </c>
      <c r="C50" s="93">
        <v>1066</v>
      </c>
      <c r="D50" s="279">
        <v>2E-3</v>
      </c>
      <c r="E50" s="279"/>
      <c r="F50" s="94">
        <f t="shared" si="4"/>
        <v>2.1320000000000001</v>
      </c>
      <c r="G50" s="270"/>
      <c r="H50" s="271"/>
    </row>
    <row r="51" spans="1:8">
      <c r="A51" s="286">
        <v>5</v>
      </c>
      <c r="B51" s="282" t="s">
        <v>346</v>
      </c>
      <c r="C51" s="59">
        <v>85</v>
      </c>
      <c r="D51" s="279">
        <v>0.1</v>
      </c>
      <c r="E51" s="162">
        <v>0.1</v>
      </c>
      <c r="F51" s="94">
        <f t="shared" si="4"/>
        <v>8.5</v>
      </c>
      <c r="G51" s="270"/>
      <c r="H51" s="271"/>
    </row>
    <row r="52" spans="1:8">
      <c r="A52" s="286">
        <v>6</v>
      </c>
      <c r="B52" s="270" t="s">
        <v>449</v>
      </c>
      <c r="C52" s="93">
        <v>294</v>
      </c>
      <c r="D52" s="279">
        <v>0.02</v>
      </c>
      <c r="E52" s="279">
        <v>0.02</v>
      </c>
      <c r="F52" s="94">
        <f t="shared" si="4"/>
        <v>5.88</v>
      </c>
      <c r="G52" s="270"/>
      <c r="H52" s="272"/>
    </row>
    <row r="53" spans="1:8">
      <c r="A53" s="286">
        <v>7</v>
      </c>
      <c r="B53" s="275" t="s">
        <v>267</v>
      </c>
      <c r="C53" s="186">
        <v>1250</v>
      </c>
      <c r="D53" s="283">
        <v>5.0000000000000001E-3</v>
      </c>
      <c r="E53" s="283"/>
      <c r="F53" s="94">
        <f t="shared" si="4"/>
        <v>6.25</v>
      </c>
      <c r="G53" s="275"/>
      <c r="H53" s="276"/>
    </row>
    <row r="54" spans="1:8" ht="15.75" thickBot="1">
      <c r="A54" s="286">
        <v>8</v>
      </c>
      <c r="B54" s="275" t="s">
        <v>450</v>
      </c>
      <c r="C54" s="186">
        <v>4650</v>
      </c>
      <c r="D54" s="283">
        <v>5.0000000000000001E-3</v>
      </c>
      <c r="E54" s="283"/>
      <c r="F54" s="94">
        <f t="shared" si="4"/>
        <v>23.25</v>
      </c>
      <c r="G54" s="275"/>
      <c r="H54" s="276"/>
    </row>
    <row r="55" spans="1:8" ht="15.75" thickBot="1">
      <c r="A55" s="354" t="s">
        <v>569</v>
      </c>
      <c r="B55" s="355"/>
      <c r="C55" s="164" t="s">
        <v>268</v>
      </c>
      <c r="D55" s="148">
        <f>SUM(D47:D54)</f>
        <v>0.38600000000000001</v>
      </c>
      <c r="E55" s="148">
        <f>SUM(E47:E54)</f>
        <v>0.32000000000000006</v>
      </c>
      <c r="F55" s="277">
        <f>SUM(F47:F54)</f>
        <v>139.072</v>
      </c>
      <c r="G55" s="164"/>
      <c r="H55" s="273"/>
    </row>
    <row r="56" spans="1:8">
      <c r="A56" s="101"/>
      <c r="B56" s="102"/>
      <c r="C56" s="110"/>
      <c r="D56" s="103"/>
      <c r="E56" s="103"/>
      <c r="F56" s="278"/>
      <c r="G56" s="110"/>
      <c r="H56" s="274">
        <f>F55*4</f>
        <v>556.28800000000001</v>
      </c>
    </row>
    <row r="57" spans="1:8">
      <c r="H57" s="274"/>
    </row>
    <row r="58" spans="1:8">
      <c r="B58" s="265" t="s">
        <v>422</v>
      </c>
      <c r="D58" s="106" t="s">
        <v>452</v>
      </c>
      <c r="E58" s="103"/>
      <c r="F58" s="268"/>
      <c r="H58" s="267"/>
    </row>
    <row r="59" spans="1:8" ht="30">
      <c r="A59" s="285" t="s">
        <v>423</v>
      </c>
      <c r="B59" s="138" t="s">
        <v>424</v>
      </c>
      <c r="C59" s="139" t="s">
        <v>425</v>
      </c>
      <c r="D59" s="140" t="s">
        <v>426</v>
      </c>
      <c r="E59" s="140" t="s">
        <v>427</v>
      </c>
      <c r="F59" s="141" t="s">
        <v>428</v>
      </c>
      <c r="G59" s="142" t="s">
        <v>429</v>
      </c>
      <c r="H59" s="269" t="s">
        <v>430</v>
      </c>
    </row>
    <row r="60" spans="1:8">
      <c r="A60" s="286">
        <v>1</v>
      </c>
      <c r="B60" s="270" t="s">
        <v>453</v>
      </c>
      <c r="C60" s="174">
        <v>850</v>
      </c>
      <c r="D60" s="279">
        <v>1.1000000000000001</v>
      </c>
      <c r="E60" s="279">
        <v>0.9</v>
      </c>
      <c r="F60" s="280">
        <f t="shared" ref="F60:F65" si="5">D60*C60</f>
        <v>935.00000000000011</v>
      </c>
      <c r="G60" s="270"/>
      <c r="H60" s="271"/>
    </row>
    <row r="61" spans="1:8">
      <c r="A61" s="286">
        <v>2</v>
      </c>
      <c r="B61" s="270" t="s">
        <v>117</v>
      </c>
      <c r="C61" s="18">
        <v>30</v>
      </c>
      <c r="D61" s="279">
        <v>1.2E-2</v>
      </c>
      <c r="E61" s="279">
        <v>1.2E-2</v>
      </c>
      <c r="F61" s="280">
        <f t="shared" si="5"/>
        <v>0.36</v>
      </c>
      <c r="G61" s="270"/>
      <c r="H61" s="272"/>
    </row>
    <row r="62" spans="1:8">
      <c r="A62" s="286">
        <v>3</v>
      </c>
      <c r="B62" s="270" t="s">
        <v>454</v>
      </c>
      <c r="C62" s="18">
        <v>230</v>
      </c>
      <c r="D62" s="279">
        <v>0.1</v>
      </c>
      <c r="E62" s="279">
        <v>3.0000000000000001E-3</v>
      </c>
      <c r="F62" s="280">
        <f t="shared" si="5"/>
        <v>23</v>
      </c>
      <c r="G62" s="270"/>
      <c r="H62" s="272"/>
    </row>
    <row r="63" spans="1:8">
      <c r="A63" s="286">
        <v>4</v>
      </c>
      <c r="B63" s="270" t="s">
        <v>264</v>
      </c>
      <c r="C63" s="18">
        <v>30</v>
      </c>
      <c r="D63" s="279">
        <v>0.3</v>
      </c>
      <c r="E63" s="279">
        <v>0.25</v>
      </c>
      <c r="F63" s="280">
        <f t="shared" si="5"/>
        <v>9</v>
      </c>
      <c r="G63" s="270"/>
      <c r="H63" s="272"/>
    </row>
    <row r="64" spans="1:8">
      <c r="A64" s="286">
        <v>5</v>
      </c>
      <c r="B64" s="270" t="s">
        <v>432</v>
      </c>
      <c r="C64" s="18">
        <v>240</v>
      </c>
      <c r="D64" s="279">
        <v>2E-3</v>
      </c>
      <c r="E64" s="279">
        <v>2E-3</v>
      </c>
      <c r="F64" s="280">
        <f t="shared" si="5"/>
        <v>0.48</v>
      </c>
      <c r="G64" s="270"/>
      <c r="H64" s="272"/>
    </row>
    <row r="65" spans="1:8" ht="15.75" thickBot="1">
      <c r="A65" s="286">
        <v>6</v>
      </c>
      <c r="B65" s="270" t="s">
        <v>455</v>
      </c>
      <c r="C65" s="18">
        <v>450</v>
      </c>
      <c r="D65" s="279">
        <v>0.1</v>
      </c>
      <c r="E65" s="279"/>
      <c r="F65" s="280">
        <f t="shared" si="5"/>
        <v>45</v>
      </c>
      <c r="G65" s="270"/>
      <c r="H65" s="272" t="s">
        <v>451</v>
      </c>
    </row>
    <row r="66" spans="1:8" ht="15.75" thickBot="1">
      <c r="A66" s="354" t="s">
        <v>560</v>
      </c>
      <c r="B66" s="355"/>
      <c r="C66" s="164" t="s">
        <v>268</v>
      </c>
      <c r="D66" s="148">
        <f>SUM(D60:D65)</f>
        <v>1.6140000000000003</v>
      </c>
      <c r="E66" s="148">
        <f>SUM(E60:E65)</f>
        <v>1.167</v>
      </c>
      <c r="F66" s="149">
        <f>SUM(F60:F65)</f>
        <v>1012.8400000000001</v>
      </c>
      <c r="G66" s="164"/>
      <c r="H66" s="273">
        <v>843</v>
      </c>
    </row>
    <row r="69" spans="1:8">
      <c r="B69" s="265" t="s">
        <v>422</v>
      </c>
      <c r="D69" s="106" t="s">
        <v>527</v>
      </c>
      <c r="E69" s="103"/>
      <c r="F69" s="268"/>
      <c r="H69" s="267"/>
    </row>
    <row r="70" spans="1:8" ht="30">
      <c r="A70" s="285" t="s">
        <v>423</v>
      </c>
      <c r="B70" s="138" t="s">
        <v>424</v>
      </c>
      <c r="C70" s="139" t="s">
        <v>425</v>
      </c>
      <c r="D70" s="140" t="s">
        <v>426</v>
      </c>
      <c r="E70" s="140" t="s">
        <v>427</v>
      </c>
      <c r="F70" s="141" t="s">
        <v>428</v>
      </c>
      <c r="G70" s="142" t="s">
        <v>429</v>
      </c>
      <c r="H70" s="269" t="s">
        <v>430</v>
      </c>
    </row>
    <row r="71" spans="1:8">
      <c r="A71" s="286">
        <v>1</v>
      </c>
      <c r="B71" s="270" t="s">
        <v>528</v>
      </c>
      <c r="C71" s="174">
        <v>1800</v>
      </c>
      <c r="D71" s="279">
        <v>1.6</v>
      </c>
      <c r="E71" s="279">
        <v>1</v>
      </c>
      <c r="F71" s="280">
        <f t="shared" ref="F71:F73" si="6">D71*C71</f>
        <v>2880</v>
      </c>
      <c r="G71" s="270"/>
      <c r="H71" s="271"/>
    </row>
    <row r="72" spans="1:8">
      <c r="A72" s="286">
        <v>2</v>
      </c>
      <c r="B72" s="270" t="s">
        <v>117</v>
      </c>
      <c r="C72" s="18">
        <v>30</v>
      </c>
      <c r="D72" s="279">
        <v>0.05</v>
      </c>
      <c r="E72" s="279">
        <v>0.05</v>
      </c>
      <c r="F72" s="280">
        <f t="shared" si="6"/>
        <v>1.5</v>
      </c>
      <c r="G72" s="270"/>
      <c r="H72" s="272"/>
    </row>
    <row r="73" spans="1:8" ht="15.75" thickBot="1">
      <c r="A73" s="286">
        <v>3</v>
      </c>
      <c r="B73" s="270" t="s">
        <v>137</v>
      </c>
      <c r="C73" s="18">
        <v>230</v>
      </c>
      <c r="D73" s="279">
        <v>0.1</v>
      </c>
      <c r="E73" s="279">
        <v>3.0000000000000001E-3</v>
      </c>
      <c r="F73" s="280">
        <f t="shared" si="6"/>
        <v>23</v>
      </c>
      <c r="G73" s="270"/>
      <c r="H73" s="272"/>
    </row>
    <row r="74" spans="1:8" ht="15.75" thickBot="1">
      <c r="A74" s="354" t="s">
        <v>10</v>
      </c>
      <c r="B74" s="355"/>
      <c r="C74" s="164" t="s">
        <v>268</v>
      </c>
      <c r="D74" s="148">
        <f>SUM(D71:D73)</f>
        <v>1.7500000000000002</v>
      </c>
      <c r="E74" s="148">
        <f>SUM(E71:E73)</f>
        <v>1.0529999999999999</v>
      </c>
      <c r="F74" s="149">
        <f>SUM(F71:F73)</f>
        <v>2904.5</v>
      </c>
      <c r="G74" s="164"/>
      <c r="H74" s="273">
        <v>843</v>
      </c>
    </row>
    <row r="76" spans="1:8">
      <c r="B76" s="265" t="s">
        <v>422</v>
      </c>
      <c r="D76" s="106" t="s">
        <v>562</v>
      </c>
      <c r="E76" s="103"/>
      <c r="F76" s="268"/>
      <c r="H76" s="267"/>
    </row>
    <row r="77" spans="1:8" ht="30">
      <c r="A77" s="285" t="s">
        <v>423</v>
      </c>
      <c r="B77" s="287" t="s">
        <v>424</v>
      </c>
      <c r="C77" s="288" t="s">
        <v>425</v>
      </c>
      <c r="D77" s="289" t="s">
        <v>426</v>
      </c>
      <c r="E77" s="289" t="s">
        <v>427</v>
      </c>
      <c r="F77" s="290" t="s">
        <v>428</v>
      </c>
      <c r="G77" s="142" t="s">
        <v>429</v>
      </c>
      <c r="H77" s="269" t="s">
        <v>430</v>
      </c>
    </row>
    <row r="78" spans="1:8">
      <c r="A78" s="286">
        <v>1</v>
      </c>
      <c r="B78" s="270" t="s">
        <v>563</v>
      </c>
      <c r="C78" s="174">
        <v>330</v>
      </c>
      <c r="D78" s="279">
        <v>1.1000000000000001</v>
      </c>
      <c r="E78" s="279">
        <v>1</v>
      </c>
      <c r="F78" s="280">
        <f t="shared" ref="F78:F83" si="7">D78*C78</f>
        <v>363.00000000000006</v>
      </c>
      <c r="G78" s="270"/>
      <c r="H78" s="271"/>
    </row>
    <row r="79" spans="1:8">
      <c r="A79" s="286">
        <v>2</v>
      </c>
      <c r="B79" s="270" t="s">
        <v>117</v>
      </c>
      <c r="C79" s="18">
        <v>30</v>
      </c>
      <c r="D79" s="279">
        <v>1.2E-2</v>
      </c>
      <c r="E79" s="279"/>
      <c r="F79" s="280">
        <f t="shared" si="7"/>
        <v>0.36</v>
      </c>
      <c r="G79" s="270"/>
      <c r="H79" s="272"/>
    </row>
    <row r="80" spans="1:8">
      <c r="A80" s="286">
        <v>3</v>
      </c>
      <c r="B80" s="270" t="s">
        <v>215</v>
      </c>
      <c r="C80" s="18">
        <v>600</v>
      </c>
      <c r="D80" s="279">
        <v>3.0000000000000001E-3</v>
      </c>
      <c r="E80" s="279"/>
      <c r="F80" s="280">
        <f t="shared" si="7"/>
        <v>1.8</v>
      </c>
      <c r="G80" s="270"/>
      <c r="H80" s="272"/>
    </row>
    <row r="81" spans="1:8">
      <c r="A81" s="286">
        <v>4</v>
      </c>
      <c r="B81" s="270" t="s">
        <v>264</v>
      </c>
      <c r="C81" s="18">
        <v>30</v>
      </c>
      <c r="D81" s="279">
        <v>0.4</v>
      </c>
      <c r="E81" s="279">
        <v>0.35</v>
      </c>
      <c r="F81" s="280">
        <f t="shared" si="7"/>
        <v>12</v>
      </c>
      <c r="G81" s="270"/>
      <c r="H81" s="272"/>
    </row>
    <row r="82" spans="1:8">
      <c r="A82" s="286">
        <v>5</v>
      </c>
      <c r="B82" s="270" t="s">
        <v>432</v>
      </c>
      <c r="C82" s="18">
        <v>240</v>
      </c>
      <c r="D82" s="279">
        <v>2E-3</v>
      </c>
      <c r="E82" s="279"/>
      <c r="F82" s="280">
        <f t="shared" si="7"/>
        <v>0.48</v>
      </c>
      <c r="G82" s="270"/>
      <c r="H82" s="272"/>
    </row>
    <row r="83" spans="1:8" ht="15.75" thickBot="1">
      <c r="A83" s="286">
        <v>6</v>
      </c>
      <c r="B83" s="270" t="s">
        <v>137</v>
      </c>
      <c r="C83" s="18">
        <v>250</v>
      </c>
      <c r="D83" s="279">
        <v>5.0000000000000001E-3</v>
      </c>
      <c r="E83" s="279"/>
      <c r="F83" s="280">
        <f t="shared" si="7"/>
        <v>1.25</v>
      </c>
      <c r="G83" s="270"/>
      <c r="H83" s="272"/>
    </row>
    <row r="84" spans="1:8" ht="15.75" thickBot="1">
      <c r="A84" s="354" t="s">
        <v>570</v>
      </c>
      <c r="B84" s="355"/>
      <c r="C84" s="164" t="s">
        <v>268</v>
      </c>
      <c r="D84" s="148">
        <f>SUM(D78:D83)</f>
        <v>1.522</v>
      </c>
      <c r="E84" s="148">
        <f>SUM(E78:E83)</f>
        <v>1.35</v>
      </c>
      <c r="F84" s="281">
        <f>SUM(F78:F83)</f>
        <v>378.8900000000001</v>
      </c>
      <c r="G84" s="164"/>
      <c r="H84" s="273">
        <f>F84/E84</f>
        <v>280.65925925925933</v>
      </c>
    </row>
    <row r="85" spans="1:8">
      <c r="F85" s="305">
        <f>F84/9</f>
        <v>42.098888888888901</v>
      </c>
    </row>
  </sheetData>
  <mergeCells count="8">
    <mergeCell ref="A84:B84"/>
    <mergeCell ref="A66:B66"/>
    <mergeCell ref="A74:B74"/>
    <mergeCell ref="A10:B10"/>
    <mergeCell ref="A20:B20"/>
    <mergeCell ref="A30:B30"/>
    <mergeCell ref="A43:B43"/>
    <mergeCell ref="A55:B5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4"/>
  <sheetViews>
    <sheetView topLeftCell="A91" workbookViewId="0">
      <selection activeCell="A70" sqref="A70:B70"/>
    </sheetView>
  </sheetViews>
  <sheetFormatPr defaultRowHeight="15"/>
  <cols>
    <col min="1" max="1" width="4" customWidth="1"/>
    <col min="2" max="2" width="28.85546875" customWidth="1"/>
  </cols>
  <sheetData>
    <row r="1" spans="1:8">
      <c r="A1" s="166" t="s">
        <v>456</v>
      </c>
      <c r="B1" s="166"/>
      <c r="C1" s="167"/>
      <c r="D1" s="168" t="s">
        <v>457</v>
      </c>
      <c r="E1" s="169"/>
      <c r="F1" s="170"/>
      <c r="G1" s="170"/>
      <c r="H1" s="137"/>
    </row>
    <row r="2" spans="1:8" ht="45">
      <c r="A2" s="98" t="s">
        <v>423</v>
      </c>
      <c r="B2" s="98" t="s">
        <v>0</v>
      </c>
      <c r="C2" s="72" t="s">
        <v>458</v>
      </c>
      <c r="D2" s="114" t="s">
        <v>459</v>
      </c>
      <c r="E2" s="114" t="s">
        <v>460</v>
      </c>
      <c r="F2" s="171" t="s">
        <v>461</v>
      </c>
      <c r="G2" s="172" t="s">
        <v>462</v>
      </c>
      <c r="H2" s="173" t="s">
        <v>463</v>
      </c>
    </row>
    <row r="3" spans="1:8">
      <c r="A3" s="1">
        <v>1</v>
      </c>
      <c r="B3" s="1" t="s">
        <v>214</v>
      </c>
      <c r="C3" s="174">
        <v>180</v>
      </c>
      <c r="D3" s="92">
        <v>1</v>
      </c>
      <c r="E3" s="92"/>
      <c r="F3" s="61">
        <f t="shared" ref="F3:F11" si="0">D3*C3</f>
        <v>180</v>
      </c>
      <c r="G3" s="61"/>
      <c r="H3" s="20"/>
    </row>
    <row r="4" spans="1:8">
      <c r="A4" s="1">
        <v>2</v>
      </c>
      <c r="B4" s="1" t="s">
        <v>450</v>
      </c>
      <c r="C4" s="174">
        <v>3167</v>
      </c>
      <c r="D4" s="92">
        <v>5.0000000000000001E-3</v>
      </c>
      <c r="E4" s="92"/>
      <c r="F4" s="61">
        <f t="shared" si="0"/>
        <v>15.835000000000001</v>
      </c>
      <c r="G4" s="61"/>
      <c r="H4" s="20"/>
    </row>
    <row r="5" spans="1:8">
      <c r="A5" s="1">
        <v>3</v>
      </c>
      <c r="B5" s="1" t="s">
        <v>117</v>
      </c>
      <c r="C5" s="18">
        <v>30</v>
      </c>
      <c r="D5" s="92">
        <v>5.0000000000000001E-3</v>
      </c>
      <c r="E5" s="92"/>
      <c r="F5" s="61">
        <f t="shared" si="0"/>
        <v>0.15</v>
      </c>
      <c r="G5" s="61"/>
      <c r="H5" s="20"/>
    </row>
    <row r="6" spans="1:8">
      <c r="A6" s="1">
        <v>4</v>
      </c>
      <c r="B6" s="18" t="s">
        <v>464</v>
      </c>
      <c r="C6" s="174">
        <v>210</v>
      </c>
      <c r="D6" s="92">
        <v>0.4</v>
      </c>
      <c r="E6" s="92"/>
      <c r="F6" s="61">
        <f t="shared" si="0"/>
        <v>84</v>
      </c>
      <c r="G6" s="356" t="s">
        <v>465</v>
      </c>
      <c r="H6" s="357"/>
    </row>
    <row r="7" spans="1:8">
      <c r="A7" s="1">
        <v>5</v>
      </c>
      <c r="B7" s="1" t="s">
        <v>355</v>
      </c>
      <c r="C7" s="174">
        <v>1969</v>
      </c>
      <c r="D7" s="92">
        <v>0.03</v>
      </c>
      <c r="E7" s="92"/>
      <c r="F7" s="61">
        <f t="shared" si="0"/>
        <v>59.07</v>
      </c>
      <c r="G7" s="61"/>
      <c r="H7" s="20"/>
    </row>
    <row r="8" spans="1:8">
      <c r="A8" s="1">
        <v>6</v>
      </c>
      <c r="B8" s="18" t="s">
        <v>466</v>
      </c>
      <c r="C8" s="174">
        <v>933</v>
      </c>
      <c r="D8" s="92">
        <v>5.0000000000000001E-3</v>
      </c>
      <c r="E8" s="92"/>
      <c r="F8" s="61">
        <f t="shared" si="0"/>
        <v>4.665</v>
      </c>
      <c r="G8" s="61"/>
      <c r="H8" s="175"/>
    </row>
    <row r="9" spans="1:8">
      <c r="A9" s="1">
        <v>7</v>
      </c>
      <c r="B9" s="1" t="s">
        <v>189</v>
      </c>
      <c r="C9" s="174">
        <v>362</v>
      </c>
      <c r="D9" s="92">
        <v>0.01</v>
      </c>
      <c r="E9" s="92"/>
      <c r="F9" s="61">
        <f t="shared" si="0"/>
        <v>3.62</v>
      </c>
      <c r="G9" s="61"/>
      <c r="H9" s="20"/>
    </row>
    <row r="10" spans="1:8">
      <c r="A10" s="1">
        <v>8</v>
      </c>
      <c r="B10" s="1" t="s">
        <v>467</v>
      </c>
      <c r="C10" s="174">
        <v>225</v>
      </c>
      <c r="D10" s="92">
        <v>0.01</v>
      </c>
      <c r="E10" s="92"/>
      <c r="F10" s="61">
        <f t="shared" si="0"/>
        <v>2.25</v>
      </c>
      <c r="G10" s="61"/>
      <c r="H10" s="20"/>
    </row>
    <row r="11" spans="1:8" ht="15.75" thickBot="1">
      <c r="A11" s="1">
        <v>9</v>
      </c>
      <c r="B11" s="1" t="s">
        <v>468</v>
      </c>
      <c r="C11" s="176">
        <v>150</v>
      </c>
      <c r="D11" s="177">
        <v>0.01</v>
      </c>
      <c r="E11" s="177"/>
      <c r="F11" s="61">
        <f t="shared" si="0"/>
        <v>1.5</v>
      </c>
      <c r="G11" s="178"/>
      <c r="H11" s="20" t="s">
        <v>469</v>
      </c>
    </row>
    <row r="12" spans="1:8" ht="15.75" thickBot="1">
      <c r="A12" s="354" t="s">
        <v>571</v>
      </c>
      <c r="B12" s="355"/>
      <c r="C12" s="164" t="s">
        <v>268</v>
      </c>
      <c r="D12" s="179">
        <f>SUM(D3:D11)</f>
        <v>1.4749999999999996</v>
      </c>
      <c r="E12" s="179"/>
      <c r="F12" s="180">
        <f>SUM(F3:F11)</f>
        <v>351.09000000000003</v>
      </c>
      <c r="G12" s="180"/>
      <c r="H12" s="151">
        <f>F12/1.4</f>
        <v>250.77857142857147</v>
      </c>
    </row>
    <row r="13" spans="1:8">
      <c r="D13" s="99"/>
      <c r="E13" s="99"/>
      <c r="H13" s="45"/>
    </row>
    <row r="14" spans="1:8">
      <c r="B14" t="s">
        <v>422</v>
      </c>
      <c r="D14" s="181" t="s">
        <v>470</v>
      </c>
      <c r="E14" s="103"/>
      <c r="F14" s="91"/>
      <c r="H14" s="45"/>
    </row>
    <row r="15" spans="1:8" ht="45">
      <c r="A15" s="98" t="s">
        <v>423</v>
      </c>
      <c r="B15" s="138" t="s">
        <v>424</v>
      </c>
      <c r="C15" s="139" t="s">
        <v>425</v>
      </c>
      <c r="D15" s="140" t="s">
        <v>426</v>
      </c>
      <c r="E15" s="140" t="s">
        <v>427</v>
      </c>
      <c r="F15" s="141" t="s">
        <v>428</v>
      </c>
      <c r="G15" s="142" t="s">
        <v>429</v>
      </c>
      <c r="H15" s="152" t="s">
        <v>430</v>
      </c>
    </row>
    <row r="16" spans="1:8">
      <c r="A16" s="1">
        <v>1</v>
      </c>
      <c r="B16" s="63" t="s">
        <v>274</v>
      </c>
      <c r="C16" s="93">
        <v>460</v>
      </c>
      <c r="D16" s="109">
        <v>0.03</v>
      </c>
      <c r="E16" s="109"/>
      <c r="F16" s="94">
        <f>D16*C16</f>
        <v>13.799999999999999</v>
      </c>
      <c r="G16" s="1"/>
      <c r="H16" s="20"/>
    </row>
    <row r="17" spans="1:8">
      <c r="A17" s="1">
        <v>2</v>
      </c>
      <c r="B17" s="63" t="s">
        <v>355</v>
      </c>
      <c r="C17" s="93">
        <v>2508</v>
      </c>
      <c r="D17" s="109">
        <v>5.0000000000000001E-3</v>
      </c>
      <c r="E17" s="109"/>
      <c r="F17" s="94">
        <f t="shared" ref="F17:F18" si="1">D17*C17</f>
        <v>12.540000000000001</v>
      </c>
      <c r="G17" s="1"/>
      <c r="H17" s="20"/>
    </row>
    <row r="18" spans="1:8">
      <c r="A18" s="1">
        <v>3</v>
      </c>
      <c r="B18" s="63" t="s">
        <v>471</v>
      </c>
      <c r="C18" s="93">
        <v>1920</v>
      </c>
      <c r="D18" s="109">
        <v>5.0000000000000001E-3</v>
      </c>
      <c r="E18" s="109"/>
      <c r="F18" s="94">
        <f t="shared" si="1"/>
        <v>9.6</v>
      </c>
      <c r="G18" s="1"/>
      <c r="H18" s="20"/>
    </row>
    <row r="19" spans="1:8" ht="15.75" thickBot="1">
      <c r="A19" s="1">
        <v>4</v>
      </c>
      <c r="B19" s="63"/>
      <c r="C19" s="93"/>
      <c r="D19" s="109"/>
      <c r="E19" s="109"/>
      <c r="F19" s="94"/>
      <c r="G19" s="1"/>
      <c r="H19" s="20" t="s">
        <v>451</v>
      </c>
    </row>
    <row r="20" spans="1:8" ht="15.75" thickBot="1">
      <c r="A20" s="354" t="s">
        <v>572</v>
      </c>
      <c r="B20" s="355"/>
      <c r="C20" s="164" t="s">
        <v>268</v>
      </c>
      <c r="D20" s="148">
        <f>SUM(D16:D19)</f>
        <v>3.9999999999999994E-2</v>
      </c>
      <c r="E20" s="148"/>
      <c r="F20" s="149">
        <f>SUM(F16:F19)</f>
        <v>35.94</v>
      </c>
      <c r="G20" s="164"/>
      <c r="H20" s="156">
        <f>F20/D20</f>
        <v>898.50000000000011</v>
      </c>
    </row>
    <row r="21" spans="1:8">
      <c r="D21" s="99"/>
      <c r="E21" s="99"/>
      <c r="H21" s="45"/>
    </row>
    <row r="22" spans="1:8">
      <c r="A22" s="166" t="s">
        <v>456</v>
      </c>
      <c r="B22" s="166"/>
      <c r="C22" s="167"/>
      <c r="D22" s="168" t="s">
        <v>472</v>
      </c>
      <c r="E22" s="169"/>
      <c r="F22" s="170"/>
      <c r="G22" s="170"/>
      <c r="H22" s="182"/>
    </row>
    <row r="23" spans="1:8" ht="45">
      <c r="A23" s="98" t="s">
        <v>423</v>
      </c>
      <c r="B23" s="98" t="s">
        <v>0</v>
      </c>
      <c r="C23" s="72" t="s">
        <v>458</v>
      </c>
      <c r="D23" s="114" t="s">
        <v>459</v>
      </c>
      <c r="E23" s="114" t="s">
        <v>460</v>
      </c>
      <c r="F23" s="171" t="s">
        <v>461</v>
      </c>
      <c r="G23" s="172" t="s">
        <v>462</v>
      </c>
      <c r="H23" s="173" t="s">
        <v>463</v>
      </c>
    </row>
    <row r="24" spans="1:8">
      <c r="A24" s="1">
        <v>1</v>
      </c>
      <c r="B24" s="1" t="s">
        <v>228</v>
      </c>
      <c r="C24" s="174">
        <v>70</v>
      </c>
      <c r="D24" s="92">
        <v>0.1</v>
      </c>
      <c r="E24" s="92"/>
      <c r="F24" s="61">
        <f>D24*C24</f>
        <v>7</v>
      </c>
      <c r="G24" s="61"/>
      <c r="H24" s="20"/>
    </row>
    <row r="25" spans="1:8">
      <c r="A25" s="1">
        <v>2</v>
      </c>
      <c r="B25" s="1" t="s">
        <v>473</v>
      </c>
      <c r="C25" s="174">
        <v>220</v>
      </c>
      <c r="D25" s="92">
        <v>0.01</v>
      </c>
      <c r="E25" s="92"/>
      <c r="F25" s="61">
        <f t="shared" ref="F25:F28" si="2">D25*C25</f>
        <v>2.2000000000000002</v>
      </c>
      <c r="G25" s="61"/>
      <c r="H25" s="20"/>
    </row>
    <row r="26" spans="1:8">
      <c r="A26" s="1">
        <v>3</v>
      </c>
      <c r="B26" s="1" t="s">
        <v>474</v>
      </c>
      <c r="C26" s="174">
        <v>210</v>
      </c>
      <c r="D26" s="92">
        <v>0.05</v>
      </c>
      <c r="E26" s="92"/>
      <c r="F26" s="61">
        <f t="shared" si="2"/>
        <v>10.5</v>
      </c>
      <c r="G26" s="61"/>
      <c r="H26" s="20"/>
    </row>
    <row r="27" spans="1:8">
      <c r="A27" s="1">
        <v>4</v>
      </c>
      <c r="B27" s="1" t="s">
        <v>117</v>
      </c>
      <c r="C27" s="18">
        <v>30</v>
      </c>
      <c r="D27" s="92">
        <v>3.0000000000000001E-3</v>
      </c>
      <c r="E27" s="92"/>
      <c r="F27" s="61">
        <f t="shared" si="2"/>
        <v>0.09</v>
      </c>
      <c r="G27" s="61"/>
      <c r="H27" s="20"/>
    </row>
    <row r="28" spans="1:8" ht="15.75" thickBot="1">
      <c r="A28" s="1">
        <v>5</v>
      </c>
      <c r="B28" s="183" t="s">
        <v>392</v>
      </c>
      <c r="C28" s="174">
        <v>130</v>
      </c>
      <c r="D28" s="92">
        <v>0.1</v>
      </c>
      <c r="E28" s="92"/>
      <c r="F28" s="61">
        <f t="shared" si="2"/>
        <v>13</v>
      </c>
      <c r="G28" s="61"/>
      <c r="H28" s="20" t="s">
        <v>451</v>
      </c>
    </row>
    <row r="29" spans="1:8" ht="15.75" thickBot="1">
      <c r="A29" s="354" t="s">
        <v>10</v>
      </c>
      <c r="B29" s="355"/>
      <c r="C29" s="147" t="s">
        <v>268</v>
      </c>
      <c r="D29" s="179">
        <f>SUM(D24:D28)</f>
        <v>0.26300000000000001</v>
      </c>
      <c r="E29" s="179"/>
      <c r="F29" s="180">
        <f>SUM(F24:F28)</f>
        <v>32.79</v>
      </c>
      <c r="G29" s="180"/>
      <c r="H29" s="151">
        <f>F29/D29</f>
        <v>124.67680608365018</v>
      </c>
    </row>
    <row r="30" spans="1:8">
      <c r="A30" s="102"/>
      <c r="B30" s="102"/>
      <c r="C30" s="102"/>
      <c r="D30" s="103"/>
      <c r="E30" s="103"/>
      <c r="F30" s="104"/>
      <c r="G30" s="110"/>
      <c r="H30" s="45"/>
    </row>
    <row r="31" spans="1:8">
      <c r="B31" t="s">
        <v>422</v>
      </c>
      <c r="D31" s="106" t="s">
        <v>475</v>
      </c>
      <c r="E31" s="103"/>
      <c r="F31" s="91"/>
      <c r="H31" s="45"/>
    </row>
    <row r="32" spans="1:8" ht="45">
      <c r="A32" s="98" t="s">
        <v>423</v>
      </c>
      <c r="B32" s="138" t="s">
        <v>424</v>
      </c>
      <c r="C32" s="139" t="s">
        <v>425</v>
      </c>
      <c r="D32" s="140" t="s">
        <v>426</v>
      </c>
      <c r="E32" s="140" t="s">
        <v>427</v>
      </c>
      <c r="F32" s="141" t="s">
        <v>428</v>
      </c>
      <c r="G32" s="142" t="s">
        <v>429</v>
      </c>
      <c r="H32" s="152" t="s">
        <v>430</v>
      </c>
    </row>
    <row r="33" spans="1:8">
      <c r="A33" s="1">
        <v>1</v>
      </c>
      <c r="B33" s="184" t="s">
        <v>170</v>
      </c>
      <c r="C33" s="93">
        <v>180</v>
      </c>
      <c r="D33" s="162">
        <v>0.4</v>
      </c>
      <c r="E33" s="162">
        <v>0.4</v>
      </c>
      <c r="F33" s="94">
        <f t="shared" ref="F33:F43" si="3">D33*C33</f>
        <v>72</v>
      </c>
      <c r="G33" s="1"/>
      <c r="H33" s="20"/>
    </row>
    <row r="34" spans="1:8">
      <c r="A34" s="1">
        <v>2</v>
      </c>
      <c r="B34" s="184" t="s">
        <v>264</v>
      </c>
      <c r="C34" s="93">
        <v>30</v>
      </c>
      <c r="D34" s="162">
        <v>0.1</v>
      </c>
      <c r="E34" s="162">
        <v>0.1</v>
      </c>
      <c r="F34" s="94">
        <f t="shared" si="3"/>
        <v>3</v>
      </c>
      <c r="G34" s="1"/>
      <c r="H34" s="20"/>
    </row>
    <row r="35" spans="1:8">
      <c r="A35" s="1">
        <v>3</v>
      </c>
      <c r="B35" s="184" t="s">
        <v>476</v>
      </c>
      <c r="C35" s="93">
        <v>225</v>
      </c>
      <c r="D35" s="162">
        <v>0.03</v>
      </c>
      <c r="E35" s="162">
        <v>0.03</v>
      </c>
      <c r="F35" s="94">
        <f t="shared" si="3"/>
        <v>6.75</v>
      </c>
      <c r="G35" s="1"/>
      <c r="H35" s="20"/>
    </row>
    <row r="36" spans="1:8">
      <c r="A36" s="1">
        <v>4</v>
      </c>
      <c r="B36" s="184" t="s">
        <v>477</v>
      </c>
      <c r="C36" s="93">
        <v>492</v>
      </c>
      <c r="D36" s="162">
        <v>0.05</v>
      </c>
      <c r="E36" s="162">
        <v>0.05</v>
      </c>
      <c r="F36" s="94">
        <f t="shared" si="3"/>
        <v>24.6</v>
      </c>
      <c r="G36" s="1"/>
      <c r="H36" s="20"/>
    </row>
    <row r="37" spans="1:8">
      <c r="A37" s="1">
        <v>5</v>
      </c>
      <c r="B37" s="184" t="s">
        <v>206</v>
      </c>
      <c r="C37" s="93">
        <v>1900</v>
      </c>
      <c r="D37" s="162">
        <v>0.01</v>
      </c>
      <c r="E37" s="162">
        <v>0.01</v>
      </c>
      <c r="F37" s="94">
        <f t="shared" si="3"/>
        <v>19</v>
      </c>
      <c r="G37" s="1"/>
      <c r="H37" s="20"/>
    </row>
    <row r="38" spans="1:8">
      <c r="A38" s="1">
        <v>6</v>
      </c>
      <c r="B38" s="184" t="s">
        <v>388</v>
      </c>
      <c r="C38" s="93">
        <v>251</v>
      </c>
      <c r="D38" s="162">
        <v>0.1</v>
      </c>
      <c r="E38" s="162">
        <v>0.1</v>
      </c>
      <c r="F38" s="94">
        <f t="shared" si="3"/>
        <v>25.1</v>
      </c>
      <c r="G38" s="1"/>
      <c r="H38" s="20"/>
    </row>
    <row r="39" spans="1:8">
      <c r="A39" s="1">
        <v>7</v>
      </c>
      <c r="B39" s="184" t="s">
        <v>291</v>
      </c>
      <c r="C39" s="93">
        <v>120</v>
      </c>
      <c r="D39" s="162">
        <v>0.25</v>
      </c>
      <c r="E39" s="162">
        <v>0.25</v>
      </c>
      <c r="F39" s="94">
        <f t="shared" si="3"/>
        <v>30</v>
      </c>
      <c r="G39" s="1"/>
      <c r="H39" s="20"/>
    </row>
    <row r="40" spans="1:8">
      <c r="A40" s="1">
        <v>8</v>
      </c>
      <c r="B40" s="184" t="s">
        <v>276</v>
      </c>
      <c r="C40" s="93">
        <v>240</v>
      </c>
      <c r="D40" s="162">
        <v>0.01</v>
      </c>
      <c r="E40" s="162">
        <v>0.01</v>
      </c>
      <c r="F40" s="94">
        <f t="shared" si="3"/>
        <v>2.4</v>
      </c>
      <c r="G40" s="1"/>
      <c r="H40" s="20"/>
    </row>
    <row r="41" spans="1:8">
      <c r="A41" s="1">
        <v>9</v>
      </c>
      <c r="B41" s="184" t="s">
        <v>140</v>
      </c>
      <c r="C41" s="93">
        <v>420</v>
      </c>
      <c r="D41" s="162">
        <v>0.05</v>
      </c>
      <c r="E41" s="162">
        <v>0.05</v>
      </c>
      <c r="F41" s="94">
        <f t="shared" si="3"/>
        <v>21</v>
      </c>
      <c r="G41" s="1"/>
      <c r="H41" s="20"/>
    </row>
    <row r="42" spans="1:8">
      <c r="A42" s="1">
        <v>10</v>
      </c>
      <c r="B42" s="184" t="s">
        <v>117</v>
      </c>
      <c r="C42" s="93">
        <v>30</v>
      </c>
      <c r="D42" s="162">
        <v>0.01</v>
      </c>
      <c r="E42" s="162">
        <v>0.01</v>
      </c>
      <c r="F42" s="94">
        <f t="shared" si="3"/>
        <v>0.3</v>
      </c>
      <c r="G42" s="1"/>
      <c r="H42" s="20"/>
    </row>
    <row r="43" spans="1:8" ht="15.75" thickBot="1">
      <c r="A43" s="57">
        <v>11</v>
      </c>
      <c r="B43" s="185"/>
      <c r="C43" s="186"/>
      <c r="D43" s="187"/>
      <c r="E43" s="188"/>
      <c r="F43" s="94">
        <f t="shared" si="3"/>
        <v>0</v>
      </c>
      <c r="G43" s="57"/>
      <c r="H43" s="189" t="s">
        <v>433</v>
      </c>
    </row>
    <row r="44" spans="1:8" ht="15.75" thickBot="1">
      <c r="A44" s="354" t="s">
        <v>559</v>
      </c>
      <c r="B44" s="355"/>
      <c r="C44" s="147" t="s">
        <v>268</v>
      </c>
      <c r="D44" s="148">
        <f>SUM(D33:D43)</f>
        <v>1.01</v>
      </c>
      <c r="E44" s="148">
        <f>SUM(E33:E43)</f>
        <v>1.01</v>
      </c>
      <c r="F44" s="149">
        <f>SUM(F33:F43)</f>
        <v>204.15</v>
      </c>
      <c r="G44" s="164"/>
      <c r="H44" s="151">
        <f>F44/1</f>
        <v>204.15</v>
      </c>
    </row>
    <row r="45" spans="1:8">
      <c r="D45" s="99"/>
      <c r="E45" s="99"/>
      <c r="H45" s="45"/>
    </row>
    <row r="46" spans="1:8">
      <c r="B46" t="s">
        <v>422</v>
      </c>
      <c r="D46" s="106" t="s">
        <v>478</v>
      </c>
      <c r="E46" s="103"/>
      <c r="F46" s="91"/>
      <c r="H46" s="45"/>
    </row>
    <row r="47" spans="1:8" ht="45">
      <c r="A47" s="98" t="s">
        <v>423</v>
      </c>
      <c r="B47" s="157" t="s">
        <v>424</v>
      </c>
      <c r="C47" s="158" t="s">
        <v>425</v>
      </c>
      <c r="D47" s="190" t="s">
        <v>426</v>
      </c>
      <c r="E47" s="190" t="s">
        <v>427</v>
      </c>
      <c r="F47" s="141" t="s">
        <v>428</v>
      </c>
      <c r="G47" s="142" t="s">
        <v>429</v>
      </c>
      <c r="H47" s="152" t="s">
        <v>430</v>
      </c>
    </row>
    <row r="48" spans="1:8">
      <c r="A48" s="1">
        <v>1</v>
      </c>
      <c r="B48" s="191" t="s">
        <v>479</v>
      </c>
      <c r="C48" s="59">
        <v>850</v>
      </c>
      <c r="D48" s="192">
        <v>1</v>
      </c>
      <c r="E48" s="192"/>
      <c r="F48" s="94">
        <f t="shared" ref="F48:F58" si="4">D48*C48</f>
        <v>850</v>
      </c>
      <c r="G48" s="1"/>
      <c r="H48" s="20"/>
    </row>
    <row r="49" spans="1:8">
      <c r="A49" s="1">
        <v>2</v>
      </c>
      <c r="B49" s="191" t="s">
        <v>264</v>
      </c>
      <c r="C49" s="59">
        <v>30</v>
      </c>
      <c r="D49" s="192">
        <v>0.2</v>
      </c>
      <c r="E49" s="192"/>
      <c r="F49" s="94">
        <f t="shared" si="4"/>
        <v>6</v>
      </c>
      <c r="G49" s="1"/>
      <c r="H49" s="20"/>
    </row>
    <row r="50" spans="1:8">
      <c r="A50" s="1">
        <v>3</v>
      </c>
      <c r="B50" s="191" t="s">
        <v>214</v>
      </c>
      <c r="C50" s="59">
        <v>180</v>
      </c>
      <c r="D50" s="192">
        <v>0.2</v>
      </c>
      <c r="E50" s="192"/>
      <c r="F50" s="94">
        <f t="shared" si="4"/>
        <v>36</v>
      </c>
      <c r="G50" s="1"/>
      <c r="H50" s="20"/>
    </row>
    <row r="51" spans="1:8">
      <c r="A51" s="1">
        <v>4</v>
      </c>
      <c r="B51" s="191" t="s">
        <v>263</v>
      </c>
      <c r="C51" s="59">
        <v>30</v>
      </c>
      <c r="D51" s="192">
        <v>0.3</v>
      </c>
      <c r="E51" s="192"/>
      <c r="F51" s="94">
        <f t="shared" si="4"/>
        <v>9</v>
      </c>
      <c r="G51" s="1"/>
      <c r="H51" s="20"/>
    </row>
    <row r="52" spans="1:8">
      <c r="A52" s="1">
        <v>5</v>
      </c>
      <c r="B52" s="191" t="s">
        <v>206</v>
      </c>
      <c r="C52" s="59">
        <v>1900</v>
      </c>
      <c r="D52" s="192">
        <v>0.1</v>
      </c>
      <c r="E52" s="192"/>
      <c r="F52" s="94">
        <f t="shared" si="4"/>
        <v>190</v>
      </c>
      <c r="G52" s="1"/>
      <c r="H52" s="20"/>
    </row>
    <row r="53" spans="1:8">
      <c r="A53" s="1">
        <v>6</v>
      </c>
      <c r="B53" s="191" t="s">
        <v>291</v>
      </c>
      <c r="C53" s="59">
        <v>120</v>
      </c>
      <c r="D53" s="192">
        <v>0.35</v>
      </c>
      <c r="E53" s="192"/>
      <c r="F53" s="94">
        <f t="shared" si="4"/>
        <v>42</v>
      </c>
      <c r="G53" s="1"/>
      <c r="H53" s="20"/>
    </row>
    <row r="54" spans="1:8">
      <c r="A54" s="1">
        <v>7</v>
      </c>
      <c r="B54" s="191" t="s">
        <v>480</v>
      </c>
      <c r="C54" s="59">
        <v>180</v>
      </c>
      <c r="D54" s="192">
        <v>0.04</v>
      </c>
      <c r="E54" s="192"/>
      <c r="F54" s="94">
        <f t="shared" si="4"/>
        <v>7.2</v>
      </c>
      <c r="G54" s="1"/>
      <c r="H54" s="20"/>
    </row>
    <row r="55" spans="1:8">
      <c r="A55" s="1">
        <v>8</v>
      </c>
      <c r="B55" s="191" t="s">
        <v>137</v>
      </c>
      <c r="C55" s="59">
        <v>2150</v>
      </c>
      <c r="D55" s="192">
        <v>0.02</v>
      </c>
      <c r="E55" s="192"/>
      <c r="F55" s="94">
        <f t="shared" si="4"/>
        <v>43</v>
      </c>
      <c r="G55" s="1"/>
      <c r="H55" s="20"/>
    </row>
    <row r="56" spans="1:8">
      <c r="A56" s="1">
        <v>9</v>
      </c>
      <c r="B56" s="191" t="s">
        <v>117</v>
      </c>
      <c r="C56" s="59">
        <v>30</v>
      </c>
      <c r="D56" s="192">
        <v>0.02</v>
      </c>
      <c r="E56" s="192"/>
      <c r="F56" s="94">
        <f t="shared" si="4"/>
        <v>0.6</v>
      </c>
      <c r="G56" s="1"/>
      <c r="H56" s="20"/>
    </row>
    <row r="57" spans="1:8">
      <c r="A57" s="1">
        <v>10</v>
      </c>
      <c r="B57" s="191"/>
      <c r="C57" s="59"/>
      <c r="D57" s="192"/>
      <c r="E57" s="192"/>
      <c r="F57" s="94">
        <f t="shared" si="4"/>
        <v>0</v>
      </c>
      <c r="G57" s="1"/>
      <c r="H57" s="20"/>
    </row>
    <row r="58" spans="1:8" ht="15.75" thickBot="1">
      <c r="A58" s="57">
        <v>11</v>
      </c>
      <c r="B58" s="193"/>
      <c r="C58" s="194"/>
      <c r="D58" s="195"/>
      <c r="E58" s="196"/>
      <c r="F58" s="94">
        <f t="shared" si="4"/>
        <v>0</v>
      </c>
      <c r="G58" s="57"/>
      <c r="H58" s="189" t="s">
        <v>433</v>
      </c>
    </row>
    <row r="59" spans="1:8" ht="15.75" thickBot="1">
      <c r="A59" s="354" t="s">
        <v>10</v>
      </c>
      <c r="B59" s="355"/>
      <c r="C59" s="147" t="s">
        <v>268</v>
      </c>
      <c r="D59" s="148">
        <f>SUM(D48:D58)</f>
        <v>2.23</v>
      </c>
      <c r="E59" s="148">
        <v>1.5</v>
      </c>
      <c r="F59" s="149">
        <f>SUM(F48:F58)</f>
        <v>1183.8</v>
      </c>
      <c r="G59" s="164"/>
      <c r="H59" s="151">
        <f>F59/E59</f>
        <v>789.19999999999993</v>
      </c>
    </row>
    <row r="60" spans="1:8">
      <c r="A60" s="48"/>
      <c r="B60" s="48"/>
      <c r="C60" s="58"/>
      <c r="D60" s="181"/>
      <c r="E60" s="181"/>
      <c r="F60" s="197"/>
      <c r="G60" s="197"/>
      <c r="H60" s="137"/>
    </row>
    <row r="61" spans="1:8">
      <c r="B61" t="s">
        <v>422</v>
      </c>
      <c r="D61" s="106" t="s">
        <v>481</v>
      </c>
      <c r="E61" s="103"/>
      <c r="F61" s="91"/>
      <c r="H61" s="45"/>
    </row>
    <row r="62" spans="1:8" ht="45">
      <c r="A62" s="98" t="s">
        <v>423</v>
      </c>
      <c r="B62" s="138" t="s">
        <v>424</v>
      </c>
      <c r="C62" s="139" t="s">
        <v>425</v>
      </c>
      <c r="D62" s="140" t="s">
        <v>426</v>
      </c>
      <c r="E62" s="140" t="s">
        <v>427</v>
      </c>
      <c r="F62" s="141" t="s">
        <v>428</v>
      </c>
      <c r="G62" s="142" t="s">
        <v>429</v>
      </c>
      <c r="H62" s="152" t="s">
        <v>430</v>
      </c>
    </row>
    <row r="63" spans="1:8">
      <c r="A63" s="1">
        <v>1</v>
      </c>
      <c r="B63" s="1" t="s">
        <v>235</v>
      </c>
      <c r="C63" s="93">
        <v>1500</v>
      </c>
      <c r="D63" s="92">
        <v>0.5</v>
      </c>
      <c r="E63" s="162"/>
      <c r="F63" s="94">
        <f t="shared" ref="F63:F69" si="5">D63*C63</f>
        <v>750</v>
      </c>
      <c r="G63" s="1"/>
      <c r="H63" s="20"/>
    </row>
    <row r="64" spans="1:8">
      <c r="A64" s="1">
        <v>2</v>
      </c>
      <c r="B64" s="1" t="s">
        <v>127</v>
      </c>
      <c r="C64" s="93">
        <v>420</v>
      </c>
      <c r="D64" s="92">
        <v>0.2</v>
      </c>
      <c r="E64" s="162"/>
      <c r="F64" s="94">
        <f t="shared" si="5"/>
        <v>84</v>
      </c>
      <c r="G64" s="1"/>
      <c r="H64" s="20"/>
    </row>
    <row r="65" spans="1:8">
      <c r="A65" s="1">
        <v>3</v>
      </c>
      <c r="B65" s="1" t="s">
        <v>81</v>
      </c>
      <c r="C65" s="93">
        <v>2207</v>
      </c>
      <c r="D65" s="92">
        <v>8.5000000000000006E-2</v>
      </c>
      <c r="E65" s="162"/>
      <c r="F65" s="94">
        <f t="shared" si="5"/>
        <v>187.59500000000003</v>
      </c>
      <c r="G65" s="1"/>
      <c r="H65" s="20"/>
    </row>
    <row r="66" spans="1:8">
      <c r="A66" s="1">
        <v>4</v>
      </c>
      <c r="B66" s="1" t="s">
        <v>94</v>
      </c>
      <c r="C66" s="93">
        <v>2850</v>
      </c>
      <c r="D66" s="92">
        <v>0.04</v>
      </c>
      <c r="E66" s="162"/>
      <c r="F66" s="94">
        <f t="shared" si="5"/>
        <v>114</v>
      </c>
      <c r="G66" s="1"/>
      <c r="H66" s="20"/>
    </row>
    <row r="67" spans="1:8">
      <c r="A67" s="1">
        <v>5</v>
      </c>
      <c r="B67" s="1" t="s">
        <v>482</v>
      </c>
      <c r="C67" s="93">
        <v>45</v>
      </c>
      <c r="D67" s="92">
        <v>0.05</v>
      </c>
      <c r="E67" s="162"/>
      <c r="F67" s="94">
        <f t="shared" si="5"/>
        <v>2.25</v>
      </c>
      <c r="G67" s="1"/>
      <c r="H67" s="20"/>
    </row>
    <row r="68" spans="1:8">
      <c r="A68" s="1">
        <v>6</v>
      </c>
      <c r="B68" s="184"/>
      <c r="C68" s="93"/>
      <c r="D68" s="162"/>
      <c r="E68" s="162"/>
      <c r="F68" s="94">
        <f t="shared" si="5"/>
        <v>0</v>
      </c>
      <c r="G68" s="1"/>
      <c r="H68" s="20"/>
    </row>
    <row r="69" spans="1:8" ht="15.75" thickBot="1">
      <c r="A69" s="1">
        <v>7</v>
      </c>
      <c r="B69" s="185"/>
      <c r="C69" s="186"/>
      <c r="D69" s="187"/>
      <c r="E69" s="188"/>
      <c r="F69" s="94">
        <f t="shared" si="5"/>
        <v>0</v>
      </c>
      <c r="G69" s="57"/>
      <c r="H69" s="189" t="s">
        <v>433</v>
      </c>
    </row>
    <row r="70" spans="1:8" ht="15.75" thickBot="1">
      <c r="A70" s="354" t="s">
        <v>10</v>
      </c>
      <c r="B70" s="355"/>
      <c r="C70" s="147" t="s">
        <v>268</v>
      </c>
      <c r="D70" s="148">
        <f>SUM(D63:D69)</f>
        <v>0.875</v>
      </c>
      <c r="E70" s="148">
        <v>0.77500000000000002</v>
      </c>
      <c r="F70" s="149">
        <f>SUM(F63:F69)</f>
        <v>1137.845</v>
      </c>
      <c r="G70" s="164"/>
      <c r="H70" s="151">
        <f>F70/E70</f>
        <v>1468.1870967741936</v>
      </c>
    </row>
    <row r="71" spans="1:8">
      <c r="A71" s="102"/>
      <c r="B71" s="102"/>
      <c r="C71" s="102"/>
      <c r="D71" s="103"/>
      <c r="E71" s="103"/>
      <c r="F71" s="104"/>
      <c r="G71" s="110"/>
      <c r="H71" s="45"/>
    </row>
    <row r="72" spans="1:8">
      <c r="A72" s="166" t="s">
        <v>456</v>
      </c>
      <c r="B72" s="166"/>
      <c r="C72" s="167"/>
      <c r="D72" s="181" t="s">
        <v>483</v>
      </c>
      <c r="E72" s="169"/>
      <c r="F72" s="170"/>
      <c r="G72" s="170"/>
      <c r="H72" s="182"/>
    </row>
    <row r="73" spans="1:8" ht="45">
      <c r="A73" s="98" t="s">
        <v>423</v>
      </c>
      <c r="B73" s="98" t="s">
        <v>0</v>
      </c>
      <c r="C73" s="72" t="s">
        <v>458</v>
      </c>
      <c r="D73" s="114" t="s">
        <v>459</v>
      </c>
      <c r="E73" s="114" t="s">
        <v>460</v>
      </c>
      <c r="F73" s="171" t="s">
        <v>461</v>
      </c>
      <c r="G73" s="172" t="s">
        <v>462</v>
      </c>
      <c r="H73" s="173" t="s">
        <v>463</v>
      </c>
    </row>
    <row r="74" spans="1:8">
      <c r="A74" s="1">
        <v>1</v>
      </c>
      <c r="B74" s="1" t="s">
        <v>484</v>
      </c>
      <c r="C74" s="93">
        <v>120</v>
      </c>
      <c r="D74" s="92">
        <v>0.02</v>
      </c>
      <c r="E74" s="92"/>
      <c r="F74" s="61">
        <f t="shared" ref="F74:F82" si="6">D74*C74</f>
        <v>2.4</v>
      </c>
      <c r="G74" s="61"/>
      <c r="H74" s="20"/>
    </row>
    <row r="75" spans="1:8">
      <c r="A75" s="1">
        <v>2</v>
      </c>
      <c r="B75" s="1" t="s">
        <v>388</v>
      </c>
      <c r="C75" s="93">
        <v>280</v>
      </c>
      <c r="D75" s="92">
        <v>8.0000000000000002E-3</v>
      </c>
      <c r="E75" s="92"/>
      <c r="F75" s="61">
        <f t="shared" si="6"/>
        <v>2.2400000000000002</v>
      </c>
      <c r="G75" s="61"/>
      <c r="H75" s="20"/>
    </row>
    <row r="76" spans="1:8">
      <c r="A76" s="1">
        <v>3</v>
      </c>
      <c r="B76" s="1" t="s">
        <v>229</v>
      </c>
      <c r="C76" s="93">
        <v>492</v>
      </c>
      <c r="D76" s="92">
        <v>3.0000000000000001E-3</v>
      </c>
      <c r="E76" s="92"/>
      <c r="F76" s="61">
        <f t="shared" si="6"/>
        <v>1.476</v>
      </c>
      <c r="G76" s="61"/>
      <c r="H76" s="20"/>
    </row>
    <row r="77" spans="1:8">
      <c r="A77" s="1">
        <v>4</v>
      </c>
      <c r="B77" s="1" t="s">
        <v>264</v>
      </c>
      <c r="C77" s="93">
        <v>30</v>
      </c>
      <c r="D77" s="92">
        <v>5.0000000000000001E-3</v>
      </c>
      <c r="E77" s="92"/>
      <c r="F77" s="61">
        <f t="shared" si="6"/>
        <v>0.15</v>
      </c>
      <c r="G77" s="61"/>
      <c r="H77" s="20"/>
    </row>
    <row r="78" spans="1:8">
      <c r="A78" s="1">
        <v>5</v>
      </c>
      <c r="B78" s="1" t="s">
        <v>485</v>
      </c>
      <c r="C78" s="93">
        <v>366</v>
      </c>
      <c r="D78" s="92">
        <v>1E-3</v>
      </c>
      <c r="E78" s="92"/>
      <c r="F78" s="61">
        <f t="shared" si="6"/>
        <v>0.36599999999999999</v>
      </c>
      <c r="G78" s="61"/>
      <c r="H78" s="20"/>
    </row>
    <row r="79" spans="1:8">
      <c r="A79" s="1">
        <v>6</v>
      </c>
      <c r="B79" s="1" t="s">
        <v>137</v>
      </c>
      <c r="C79" s="93">
        <v>828</v>
      </c>
      <c r="D79" s="92">
        <v>1E-3</v>
      </c>
      <c r="E79" s="92"/>
      <c r="F79" s="61">
        <f t="shared" si="6"/>
        <v>0.82800000000000007</v>
      </c>
      <c r="G79" s="61"/>
      <c r="H79" s="189"/>
    </row>
    <row r="80" spans="1:8">
      <c r="A80" s="1">
        <v>7</v>
      </c>
      <c r="B80" s="1" t="s">
        <v>117</v>
      </c>
      <c r="C80" s="93">
        <v>30</v>
      </c>
      <c r="D80" s="92">
        <v>1E-3</v>
      </c>
      <c r="E80" s="92"/>
      <c r="F80" s="61">
        <f t="shared" si="6"/>
        <v>0.03</v>
      </c>
      <c r="G80" s="61"/>
      <c r="H80" s="189"/>
    </row>
    <row r="81" spans="1:8">
      <c r="A81" s="1">
        <v>8</v>
      </c>
      <c r="B81" s="1" t="s">
        <v>170</v>
      </c>
      <c r="C81" s="93">
        <v>280</v>
      </c>
      <c r="D81" s="92">
        <v>1.4999999999999999E-2</v>
      </c>
      <c r="E81" s="92"/>
      <c r="F81" s="61">
        <f t="shared" si="6"/>
        <v>4.2</v>
      </c>
      <c r="G81" s="61"/>
      <c r="H81" s="189"/>
    </row>
    <row r="82" spans="1:8" ht="15.75" thickBot="1">
      <c r="A82" s="1">
        <v>9</v>
      </c>
      <c r="B82" s="1" t="s">
        <v>171</v>
      </c>
      <c r="C82" s="93">
        <v>250</v>
      </c>
      <c r="D82" s="92">
        <v>1E-3</v>
      </c>
      <c r="E82" s="92"/>
      <c r="F82" s="61">
        <f t="shared" si="6"/>
        <v>0.25</v>
      </c>
      <c r="G82" s="61"/>
      <c r="H82" s="20" t="s">
        <v>451</v>
      </c>
    </row>
    <row r="83" spans="1:8" ht="15.75" thickBot="1">
      <c r="A83" s="354" t="s">
        <v>10</v>
      </c>
      <c r="B83" s="355"/>
      <c r="C83" s="147" t="s">
        <v>268</v>
      </c>
      <c r="D83" s="179">
        <f>SUM(D74:D82)</f>
        <v>5.5E-2</v>
      </c>
      <c r="E83" s="179">
        <v>0.05</v>
      </c>
      <c r="F83" s="180">
        <f>SUM(F74:F82)</f>
        <v>11.940000000000001</v>
      </c>
      <c r="G83" s="180"/>
      <c r="H83" s="151">
        <f>F83/E83</f>
        <v>238.8</v>
      </c>
    </row>
    <row r="84" spans="1:8">
      <c r="D84" s="99"/>
      <c r="E84" s="99"/>
      <c r="H84" s="45"/>
    </row>
    <row r="85" spans="1:8">
      <c r="B85" t="s">
        <v>422</v>
      </c>
      <c r="C85" s="106" t="s">
        <v>486</v>
      </c>
      <c r="D85" s="99"/>
      <c r="E85" s="103"/>
      <c r="F85" s="198"/>
      <c r="G85" s="170"/>
      <c r="H85" s="182"/>
    </row>
    <row r="86" spans="1:8" ht="45">
      <c r="A86" s="98" t="s">
        <v>423</v>
      </c>
      <c r="B86" s="138" t="s">
        <v>424</v>
      </c>
      <c r="C86" s="139" t="s">
        <v>425</v>
      </c>
      <c r="D86" s="140" t="s">
        <v>426</v>
      </c>
      <c r="E86" s="140" t="s">
        <v>427</v>
      </c>
      <c r="F86" s="141" t="s">
        <v>428</v>
      </c>
      <c r="G86" s="142" t="s">
        <v>429</v>
      </c>
      <c r="H86" s="152" t="s">
        <v>430</v>
      </c>
    </row>
    <row r="87" spans="1:8">
      <c r="A87" s="1">
        <v>1</v>
      </c>
      <c r="B87" s="1" t="s">
        <v>487</v>
      </c>
      <c r="C87" s="93">
        <v>240</v>
      </c>
      <c r="D87" s="92">
        <v>2</v>
      </c>
      <c r="E87" s="92">
        <v>1.35</v>
      </c>
      <c r="F87" s="94">
        <f t="shared" ref="F87:F93" si="7">D87*C87</f>
        <v>480</v>
      </c>
      <c r="G87" s="1"/>
      <c r="H87" s="20">
        <f>F87/E87</f>
        <v>355.55555555555554</v>
      </c>
    </row>
    <row r="88" spans="1:8">
      <c r="A88" s="1">
        <v>2</v>
      </c>
      <c r="B88" s="1" t="s">
        <v>117</v>
      </c>
      <c r="C88" s="93">
        <v>30</v>
      </c>
      <c r="D88" s="92">
        <v>0.02</v>
      </c>
      <c r="E88" s="92"/>
      <c r="F88" s="94">
        <f t="shared" si="7"/>
        <v>0.6</v>
      </c>
      <c r="G88" s="1"/>
      <c r="H88" s="20"/>
    </row>
    <row r="89" spans="1:8">
      <c r="A89" s="1">
        <v>3</v>
      </c>
      <c r="B89" s="1" t="s">
        <v>287</v>
      </c>
      <c r="C89" s="93"/>
      <c r="D89" s="92">
        <v>3</v>
      </c>
      <c r="E89" s="92">
        <v>2.5</v>
      </c>
      <c r="F89" s="94">
        <f t="shared" si="7"/>
        <v>0</v>
      </c>
      <c r="G89" s="1"/>
      <c r="H89" s="20"/>
    </row>
    <row r="90" spans="1:8">
      <c r="A90" s="1">
        <v>4</v>
      </c>
      <c r="B90" s="1" t="s">
        <v>264</v>
      </c>
      <c r="C90" s="93">
        <v>30</v>
      </c>
      <c r="D90" s="92">
        <v>0.1</v>
      </c>
      <c r="E90" s="162"/>
      <c r="F90" s="94">
        <f t="shared" si="7"/>
        <v>3</v>
      </c>
      <c r="G90" s="1"/>
      <c r="H90" s="20"/>
    </row>
    <row r="91" spans="1:8">
      <c r="A91" s="1">
        <v>5</v>
      </c>
      <c r="B91" s="183" t="s">
        <v>263</v>
      </c>
      <c r="C91" s="93">
        <v>30</v>
      </c>
      <c r="D91" s="92">
        <v>0.2</v>
      </c>
      <c r="E91" s="162"/>
      <c r="F91" s="94">
        <f t="shared" si="7"/>
        <v>6</v>
      </c>
      <c r="G91" s="1"/>
      <c r="H91" s="20"/>
    </row>
    <row r="92" spans="1:8">
      <c r="A92" s="1">
        <v>6</v>
      </c>
      <c r="B92" s="1" t="s">
        <v>229</v>
      </c>
      <c r="C92" s="93">
        <v>492</v>
      </c>
      <c r="D92" s="92">
        <v>0.3</v>
      </c>
      <c r="E92" s="162"/>
      <c r="F92" s="94">
        <f t="shared" si="7"/>
        <v>147.6</v>
      </c>
      <c r="G92" s="1" t="s">
        <v>488</v>
      </c>
      <c r="H92" s="20"/>
    </row>
    <row r="93" spans="1:8" ht="15.75" thickBot="1">
      <c r="A93" s="1">
        <v>7</v>
      </c>
      <c r="B93" s="199"/>
      <c r="C93" s="186"/>
      <c r="D93" s="187"/>
      <c r="E93" s="188"/>
      <c r="F93" s="94">
        <f t="shared" si="7"/>
        <v>0</v>
      </c>
      <c r="G93" s="200" t="s">
        <v>489</v>
      </c>
      <c r="H93" s="201" t="s">
        <v>490</v>
      </c>
    </row>
    <row r="94" spans="1:8" ht="15.75" thickBot="1">
      <c r="A94" s="354" t="s">
        <v>491</v>
      </c>
      <c r="B94" s="355"/>
      <c r="C94" s="147" t="s">
        <v>268</v>
      </c>
      <c r="D94" s="148">
        <f>SUM(D87:D93)</f>
        <v>5.6199999999999992</v>
      </c>
      <c r="E94" s="148">
        <f>SUM(E87:E93)</f>
        <v>3.85</v>
      </c>
      <c r="F94" s="149">
        <f>SUM(F87:F93)</f>
        <v>637.20000000000005</v>
      </c>
      <c r="G94" s="164">
        <v>238</v>
      </c>
      <c r="H94" s="151">
        <v>240</v>
      </c>
    </row>
    <row r="95" spans="1:8">
      <c r="D95" s="99"/>
      <c r="E95" s="99"/>
      <c r="H95" s="45"/>
    </row>
    <row r="96" spans="1:8">
      <c r="A96" s="166" t="s">
        <v>456</v>
      </c>
      <c r="B96" s="166"/>
      <c r="C96" s="111" t="s">
        <v>492</v>
      </c>
      <c r="D96" s="202"/>
      <c r="E96" s="169"/>
      <c r="F96" s="198"/>
      <c r="G96" s="170"/>
      <c r="H96" s="182"/>
    </row>
    <row r="97" spans="1:8" ht="45">
      <c r="A97" s="98" t="s">
        <v>423</v>
      </c>
      <c r="B97" s="2" t="s">
        <v>493</v>
      </c>
      <c r="C97" s="72" t="s">
        <v>458</v>
      </c>
      <c r="D97" s="114" t="s">
        <v>459</v>
      </c>
      <c r="E97" s="114" t="s">
        <v>460</v>
      </c>
      <c r="F97" s="171" t="s">
        <v>461</v>
      </c>
      <c r="G97" s="172" t="s">
        <v>494</v>
      </c>
      <c r="H97" s="20"/>
    </row>
    <row r="98" spans="1:8">
      <c r="A98" s="1">
        <v>1</v>
      </c>
      <c r="B98" s="1" t="s">
        <v>495</v>
      </c>
      <c r="C98" s="18">
        <v>150</v>
      </c>
      <c r="D98" s="92">
        <v>4</v>
      </c>
      <c r="E98" s="92"/>
      <c r="F98" s="61">
        <f t="shared" ref="F98:F103" si="8">D98*C98</f>
        <v>600</v>
      </c>
      <c r="G98" s="61"/>
      <c r="H98" s="20"/>
    </row>
    <row r="99" spans="1:8">
      <c r="A99" s="1">
        <v>2</v>
      </c>
      <c r="B99" s="1" t="s">
        <v>117</v>
      </c>
      <c r="C99" s="18">
        <v>30</v>
      </c>
      <c r="D99" s="92">
        <v>0.08</v>
      </c>
      <c r="E99" s="92"/>
      <c r="F99" s="61">
        <f t="shared" si="8"/>
        <v>2.4</v>
      </c>
      <c r="G99" s="61"/>
      <c r="H99" s="20"/>
    </row>
    <row r="100" spans="1:8" ht="30">
      <c r="A100" s="1">
        <v>3</v>
      </c>
      <c r="B100" s="112" t="s">
        <v>496</v>
      </c>
      <c r="C100" s="174">
        <v>228</v>
      </c>
      <c r="D100" s="92">
        <v>0.1</v>
      </c>
      <c r="E100" s="92"/>
      <c r="F100" s="61">
        <f t="shared" si="8"/>
        <v>22.8</v>
      </c>
      <c r="G100" s="61"/>
      <c r="H100" s="20"/>
    </row>
    <row r="101" spans="1:8">
      <c r="A101" s="1">
        <v>4</v>
      </c>
      <c r="B101" s="1" t="s">
        <v>264</v>
      </c>
      <c r="C101" s="18">
        <v>30</v>
      </c>
      <c r="D101" s="92">
        <v>0.2</v>
      </c>
      <c r="E101" s="92"/>
      <c r="F101" s="61">
        <f t="shared" si="8"/>
        <v>6</v>
      </c>
      <c r="G101" s="61"/>
      <c r="H101" s="20"/>
    </row>
    <row r="102" spans="1:8">
      <c r="A102" s="1">
        <v>5</v>
      </c>
      <c r="B102" s="183" t="s">
        <v>263</v>
      </c>
      <c r="C102" s="18">
        <v>30</v>
      </c>
      <c r="D102" s="92">
        <v>0.3</v>
      </c>
      <c r="E102" s="92"/>
      <c r="F102" s="61">
        <f t="shared" si="8"/>
        <v>9</v>
      </c>
      <c r="G102" s="203" t="s">
        <v>497</v>
      </c>
      <c r="H102" s="20"/>
    </row>
    <row r="103" spans="1:8" ht="15.75" thickBot="1">
      <c r="A103" s="57">
        <v>6</v>
      </c>
      <c r="B103" s="57" t="s">
        <v>287</v>
      </c>
      <c r="C103" s="56"/>
      <c r="D103" s="204">
        <v>5</v>
      </c>
      <c r="E103" s="204">
        <v>2.5</v>
      </c>
      <c r="F103" s="61">
        <f t="shared" si="8"/>
        <v>0</v>
      </c>
      <c r="G103" s="205">
        <f>F104/10</f>
        <v>64.02</v>
      </c>
      <c r="H103" s="201" t="s">
        <v>490</v>
      </c>
    </row>
    <row r="104" spans="1:8" ht="15.75" thickBot="1">
      <c r="A104" s="354" t="s">
        <v>491</v>
      </c>
      <c r="B104" s="355"/>
      <c r="C104" s="147" t="s">
        <v>268</v>
      </c>
      <c r="D104" s="179">
        <f>SUM(D98:D103)</f>
        <v>9.68</v>
      </c>
      <c r="E104" s="179">
        <f>SUM(E98:E103)</f>
        <v>2.5</v>
      </c>
      <c r="F104" s="180">
        <f>SUM(F98:F103)</f>
        <v>640.19999999999993</v>
      </c>
      <c r="G104" s="206" t="s">
        <v>498</v>
      </c>
      <c r="H104" s="207">
        <f>F104/E104</f>
        <v>256.08</v>
      </c>
    </row>
    <row r="105" spans="1:8">
      <c r="A105" s="102"/>
      <c r="B105" s="102"/>
      <c r="C105" s="102"/>
      <c r="D105" s="103"/>
      <c r="E105" s="103"/>
      <c r="F105" s="104"/>
      <c r="G105" s="110"/>
      <c r="H105" s="45"/>
    </row>
    <row r="106" spans="1:8">
      <c r="B106" t="s">
        <v>422</v>
      </c>
      <c r="D106" s="48" t="s">
        <v>499</v>
      </c>
      <c r="E106" s="103"/>
      <c r="F106" s="91"/>
      <c r="H106" s="45"/>
    </row>
    <row r="107" spans="1:8" ht="45">
      <c r="A107" s="98" t="s">
        <v>423</v>
      </c>
      <c r="B107" s="138" t="s">
        <v>424</v>
      </c>
      <c r="C107" s="139" t="s">
        <v>425</v>
      </c>
      <c r="D107" s="140" t="s">
        <v>426</v>
      </c>
      <c r="E107" s="140" t="s">
        <v>427</v>
      </c>
      <c r="F107" s="141" t="s">
        <v>428</v>
      </c>
      <c r="G107" s="142" t="s">
        <v>429</v>
      </c>
      <c r="H107" s="152" t="s">
        <v>430</v>
      </c>
    </row>
    <row r="108" spans="1:8">
      <c r="A108" s="1">
        <v>1</v>
      </c>
      <c r="B108" s="1" t="s">
        <v>171</v>
      </c>
      <c r="C108" s="93">
        <v>225</v>
      </c>
      <c r="D108" s="92">
        <v>3.0000000000000001E-3</v>
      </c>
      <c r="E108" s="109"/>
      <c r="F108" s="94">
        <f t="shared" ref="F108:F112" si="9">D108*C108</f>
        <v>0.67500000000000004</v>
      </c>
      <c r="G108" s="1"/>
      <c r="H108" s="20"/>
    </row>
    <row r="109" spans="1:8">
      <c r="A109" s="1">
        <v>2</v>
      </c>
      <c r="B109" s="1" t="s">
        <v>229</v>
      </c>
      <c r="C109" s="93">
        <v>492</v>
      </c>
      <c r="D109" s="92">
        <v>2E-3</v>
      </c>
      <c r="E109" s="109"/>
      <c r="F109" s="94">
        <f t="shared" si="9"/>
        <v>0.98399999999999999</v>
      </c>
      <c r="G109" s="1"/>
      <c r="H109" s="20"/>
    </row>
    <row r="110" spans="1:8">
      <c r="A110" s="1">
        <v>3</v>
      </c>
      <c r="B110" s="1" t="s">
        <v>500</v>
      </c>
      <c r="C110" s="93">
        <v>706</v>
      </c>
      <c r="D110" s="92">
        <v>0.05</v>
      </c>
      <c r="E110" s="109"/>
      <c r="F110" s="94">
        <f t="shared" si="9"/>
        <v>35.300000000000004</v>
      </c>
      <c r="G110" s="208"/>
      <c r="H110" s="20"/>
    </row>
    <row r="111" spans="1:8">
      <c r="A111" s="1">
        <v>4</v>
      </c>
      <c r="B111" s="1" t="s">
        <v>117</v>
      </c>
      <c r="C111" s="93">
        <v>19</v>
      </c>
      <c r="D111" s="92">
        <v>1E-3</v>
      </c>
      <c r="E111" s="109"/>
      <c r="F111" s="94">
        <f t="shared" si="9"/>
        <v>1.9E-2</v>
      </c>
      <c r="G111" s="1"/>
      <c r="H111" s="20"/>
    </row>
    <row r="112" spans="1:8" ht="15.75" thickBot="1">
      <c r="A112" s="1">
        <v>5</v>
      </c>
      <c r="B112" s="63"/>
      <c r="C112" s="93"/>
      <c r="D112" s="109"/>
      <c r="E112" s="109"/>
      <c r="F112" s="94">
        <f t="shared" si="9"/>
        <v>0</v>
      </c>
      <c r="G112" s="1"/>
      <c r="H112" s="20" t="s">
        <v>451</v>
      </c>
    </row>
    <row r="113" spans="1:8" ht="15.75" thickBot="1">
      <c r="A113" s="354" t="s">
        <v>491</v>
      </c>
      <c r="B113" s="355"/>
      <c r="C113" s="147" t="s">
        <v>268</v>
      </c>
      <c r="D113" s="148">
        <f>SUM(D108:D112)</f>
        <v>5.6000000000000001E-2</v>
      </c>
      <c r="E113" s="148">
        <v>0.05</v>
      </c>
      <c r="F113" s="149">
        <f>SUM(F108:F112)</f>
        <v>36.978000000000002</v>
      </c>
      <c r="G113" s="150">
        <v>60</v>
      </c>
      <c r="H113" s="156">
        <f>F113/E113</f>
        <v>739.56</v>
      </c>
    </row>
    <row r="114" spans="1:8">
      <c r="D114" s="99"/>
      <c r="E114" s="99"/>
      <c r="H114" s="45"/>
    </row>
    <row r="115" spans="1:8">
      <c r="D115" s="99"/>
      <c r="E115" s="209"/>
      <c r="F115" s="91"/>
      <c r="G115" s="91"/>
      <c r="H115" s="45"/>
    </row>
    <row r="116" spans="1:8">
      <c r="B116" t="s">
        <v>422</v>
      </c>
      <c r="D116" s="106" t="s">
        <v>501</v>
      </c>
      <c r="E116" s="103"/>
      <c r="F116" s="91"/>
      <c r="H116" s="45"/>
    </row>
    <row r="117" spans="1:8" ht="45">
      <c r="A117" s="98" t="s">
        <v>423</v>
      </c>
      <c r="B117" s="138" t="s">
        <v>424</v>
      </c>
      <c r="C117" s="139" t="s">
        <v>425</v>
      </c>
      <c r="D117" s="140" t="s">
        <v>426</v>
      </c>
      <c r="E117" s="140" t="s">
        <v>427</v>
      </c>
      <c r="F117" s="141" t="s">
        <v>428</v>
      </c>
      <c r="G117" s="142" t="s">
        <v>429</v>
      </c>
      <c r="H117" s="152" t="s">
        <v>430</v>
      </c>
    </row>
    <row r="118" spans="1:8">
      <c r="A118" s="1">
        <v>1</v>
      </c>
      <c r="B118" s="1" t="s">
        <v>326</v>
      </c>
      <c r="C118" s="93">
        <v>650</v>
      </c>
      <c r="D118" s="92">
        <v>2.5000000000000001E-2</v>
      </c>
      <c r="E118" s="109"/>
      <c r="F118" s="94">
        <f t="shared" ref="F118:F121" si="10">D118*C118</f>
        <v>16.25</v>
      </c>
      <c r="G118" s="1"/>
      <c r="H118" s="20"/>
    </row>
    <row r="119" spans="1:8">
      <c r="A119" s="1">
        <v>2</v>
      </c>
      <c r="B119" s="1" t="s">
        <v>189</v>
      </c>
      <c r="C119" s="93">
        <v>362</v>
      </c>
      <c r="D119" s="92">
        <v>1.4999999999999999E-2</v>
      </c>
      <c r="E119" s="109"/>
      <c r="F119" s="94">
        <f t="shared" si="10"/>
        <v>5.43</v>
      </c>
      <c r="G119" s="1"/>
      <c r="H119" s="20"/>
    </row>
    <row r="120" spans="1:8">
      <c r="A120" s="1">
        <v>3</v>
      </c>
      <c r="B120" s="1" t="s">
        <v>210</v>
      </c>
      <c r="C120" s="93">
        <v>150</v>
      </c>
      <c r="D120" s="92">
        <v>0.01</v>
      </c>
      <c r="E120" s="109"/>
      <c r="F120" s="94">
        <f t="shared" si="10"/>
        <v>1.5</v>
      </c>
      <c r="G120" s="1"/>
      <c r="H120" s="20"/>
    </row>
    <row r="121" spans="1:8" ht="15.75" thickBot="1">
      <c r="A121" s="1">
        <v>4</v>
      </c>
      <c r="B121" s="63"/>
      <c r="C121" s="93"/>
      <c r="D121" s="109"/>
      <c r="E121" s="109"/>
      <c r="F121" s="94">
        <f t="shared" si="10"/>
        <v>0</v>
      </c>
      <c r="G121" s="1"/>
      <c r="H121" s="210" t="s">
        <v>451</v>
      </c>
    </row>
    <row r="122" spans="1:8" ht="15.75" thickBot="1">
      <c r="A122" s="354" t="s">
        <v>491</v>
      </c>
      <c r="B122" s="355"/>
      <c r="C122" s="147" t="s">
        <v>268</v>
      </c>
      <c r="D122" s="148">
        <f>SUM(D118:D121)</f>
        <v>0.05</v>
      </c>
      <c r="E122" s="148">
        <v>0.05</v>
      </c>
      <c r="F122" s="149">
        <f>SUM(F118:F121)</f>
        <v>23.18</v>
      </c>
      <c r="G122" s="150">
        <v>60</v>
      </c>
      <c r="H122" s="156">
        <f>F122/E122</f>
        <v>463.59999999999997</v>
      </c>
    </row>
    <row r="123" spans="1:8">
      <c r="D123" s="99"/>
      <c r="E123" s="99"/>
      <c r="H123" s="45"/>
    </row>
    <row r="124" spans="1:8">
      <c r="B124" t="s">
        <v>422</v>
      </c>
      <c r="D124" s="48" t="s">
        <v>502</v>
      </c>
      <c r="E124" s="103"/>
      <c r="F124" s="91"/>
      <c r="H124" s="45"/>
    </row>
    <row r="125" spans="1:8" ht="45">
      <c r="A125" s="98" t="s">
        <v>423</v>
      </c>
      <c r="B125" s="138" t="s">
        <v>424</v>
      </c>
      <c r="C125" s="139" t="s">
        <v>425</v>
      </c>
      <c r="D125" s="140" t="s">
        <v>426</v>
      </c>
      <c r="E125" s="140" t="s">
        <v>427</v>
      </c>
      <c r="F125" s="141" t="s">
        <v>428</v>
      </c>
      <c r="G125" s="142" t="s">
        <v>429</v>
      </c>
      <c r="H125" s="152" t="s">
        <v>430</v>
      </c>
    </row>
    <row r="126" spans="1:8">
      <c r="A126" s="1">
        <v>1</v>
      </c>
      <c r="B126" s="1" t="s">
        <v>529</v>
      </c>
      <c r="C126" s="93">
        <v>550</v>
      </c>
      <c r="D126" s="92">
        <v>0.05</v>
      </c>
      <c r="E126" s="109"/>
      <c r="F126" s="94">
        <f t="shared" ref="F126:F128" si="11">D126*C126</f>
        <v>27.5</v>
      </c>
      <c r="G126" s="1"/>
      <c r="H126" s="20"/>
    </row>
    <row r="127" spans="1:8">
      <c r="A127" s="1">
        <v>2</v>
      </c>
      <c r="B127" s="1" t="s">
        <v>503</v>
      </c>
      <c r="C127" s="93">
        <v>662</v>
      </c>
      <c r="D127" s="92">
        <v>0.02</v>
      </c>
      <c r="E127" s="109"/>
      <c r="F127" s="94">
        <f t="shared" si="11"/>
        <v>13.24</v>
      </c>
      <c r="G127" s="1"/>
      <c r="H127" s="20"/>
    </row>
    <row r="128" spans="1:8" ht="15.75" thickBot="1">
      <c r="A128" s="1">
        <v>3</v>
      </c>
      <c r="B128" s="63"/>
      <c r="C128" s="93"/>
      <c r="D128" s="109"/>
      <c r="E128" s="109"/>
      <c r="F128" s="94">
        <f t="shared" si="11"/>
        <v>0</v>
      </c>
      <c r="G128" s="1"/>
      <c r="H128" s="20" t="s">
        <v>451</v>
      </c>
    </row>
    <row r="129" spans="1:8" ht="15.75" thickBot="1">
      <c r="A129" s="354" t="s">
        <v>491</v>
      </c>
      <c r="B129" s="355"/>
      <c r="C129" s="147" t="s">
        <v>268</v>
      </c>
      <c r="D129" s="148">
        <f>SUM(D126:D128)</f>
        <v>7.0000000000000007E-2</v>
      </c>
      <c r="E129" s="148"/>
      <c r="F129" s="149">
        <f>SUM(F126:F128)</f>
        <v>40.74</v>
      </c>
      <c r="G129" s="150">
        <v>60</v>
      </c>
      <c r="H129" s="156">
        <f>F129/D129</f>
        <v>582</v>
      </c>
    </row>
    <row r="130" spans="1:8">
      <c r="D130" s="99"/>
      <c r="E130" s="99"/>
      <c r="H130" s="45"/>
    </row>
    <row r="131" spans="1:8">
      <c r="B131" t="s">
        <v>422</v>
      </c>
      <c r="D131" s="48" t="s">
        <v>62</v>
      </c>
      <c r="E131" s="103"/>
      <c r="F131" s="91"/>
      <c r="H131" s="45"/>
    </row>
    <row r="132" spans="1:8" ht="45">
      <c r="A132" s="98" t="s">
        <v>423</v>
      </c>
      <c r="B132" s="138" t="s">
        <v>424</v>
      </c>
      <c r="C132" s="139" t="s">
        <v>425</v>
      </c>
      <c r="D132" s="140" t="s">
        <v>426</v>
      </c>
      <c r="E132" s="140" t="s">
        <v>427</v>
      </c>
      <c r="F132" s="141" t="s">
        <v>428</v>
      </c>
      <c r="G132" s="142" t="s">
        <v>429</v>
      </c>
      <c r="H132" s="152" t="s">
        <v>430</v>
      </c>
    </row>
    <row r="133" spans="1:8">
      <c r="A133" s="1">
        <v>1</v>
      </c>
      <c r="B133" s="1" t="s">
        <v>283</v>
      </c>
      <c r="C133" s="93">
        <v>330</v>
      </c>
      <c r="D133" s="92">
        <v>0.05</v>
      </c>
      <c r="E133" s="109"/>
      <c r="F133" s="94">
        <f t="shared" ref="F133:F134" si="12">D133*C133</f>
        <v>16.5</v>
      </c>
      <c r="G133" s="1"/>
      <c r="H133" s="20"/>
    </row>
    <row r="134" spans="1:8" ht="15.75" thickBot="1">
      <c r="A134" s="1">
        <v>2</v>
      </c>
      <c r="B134" s="63"/>
      <c r="C134" s="93"/>
      <c r="D134" s="109"/>
      <c r="E134" s="109"/>
      <c r="F134" s="94">
        <f t="shared" si="12"/>
        <v>0</v>
      </c>
      <c r="G134" s="1"/>
      <c r="H134" s="20" t="s">
        <v>451</v>
      </c>
    </row>
    <row r="135" spans="1:8" ht="15.75" thickBot="1">
      <c r="A135" s="354" t="s">
        <v>491</v>
      </c>
      <c r="B135" s="355"/>
      <c r="C135" s="147" t="s">
        <v>268</v>
      </c>
      <c r="D135" s="148">
        <f>SUM(D133:D134)</f>
        <v>0.05</v>
      </c>
      <c r="E135" s="148">
        <v>0.05</v>
      </c>
      <c r="F135" s="149">
        <f>SUM(F133:F134)</f>
        <v>16.5</v>
      </c>
      <c r="G135" s="150">
        <v>60</v>
      </c>
      <c r="H135" s="156">
        <f>F135/E135</f>
        <v>330</v>
      </c>
    </row>
    <row r="136" spans="1:8">
      <c r="A136" s="102"/>
      <c r="B136" s="102"/>
      <c r="C136" s="102"/>
      <c r="D136" s="103"/>
      <c r="E136" s="103"/>
      <c r="F136" s="104"/>
      <c r="G136" s="110"/>
      <c r="H136" s="45"/>
    </row>
    <row r="137" spans="1:8">
      <c r="B137" t="s">
        <v>422</v>
      </c>
      <c r="D137" s="106" t="s">
        <v>504</v>
      </c>
      <c r="E137" s="103"/>
      <c r="F137" s="91"/>
      <c r="H137" s="45"/>
    </row>
    <row r="138" spans="1:8" ht="45">
      <c r="A138" s="98" t="s">
        <v>423</v>
      </c>
      <c r="B138" s="138" t="s">
        <v>424</v>
      </c>
      <c r="C138" s="139" t="s">
        <v>425</v>
      </c>
      <c r="D138" s="140" t="s">
        <v>426</v>
      </c>
      <c r="E138" s="140" t="s">
        <v>427</v>
      </c>
      <c r="F138" s="141" t="s">
        <v>428</v>
      </c>
      <c r="G138" s="142" t="s">
        <v>429</v>
      </c>
      <c r="H138" s="152" t="s">
        <v>430</v>
      </c>
    </row>
    <row r="139" spans="1:8">
      <c r="A139" s="1">
        <v>1</v>
      </c>
      <c r="B139" s="63" t="s">
        <v>353</v>
      </c>
      <c r="C139" s="93">
        <v>180</v>
      </c>
      <c r="D139" s="109">
        <v>0.05</v>
      </c>
      <c r="E139" s="109">
        <v>0.05</v>
      </c>
      <c r="F139" s="94">
        <f t="shared" ref="F139:F140" si="13">D139*C139</f>
        <v>9</v>
      </c>
      <c r="G139" s="1"/>
      <c r="H139" s="20"/>
    </row>
    <row r="140" spans="1:8" ht="15.75" thickBot="1">
      <c r="A140" s="1">
        <v>2</v>
      </c>
      <c r="B140" s="63"/>
      <c r="C140" s="93"/>
      <c r="D140" s="109"/>
      <c r="E140" s="109"/>
      <c r="F140" s="94">
        <f t="shared" si="13"/>
        <v>0</v>
      </c>
      <c r="G140" s="1"/>
      <c r="H140" s="20" t="s">
        <v>451</v>
      </c>
    </row>
    <row r="141" spans="1:8" ht="15.75" thickBot="1">
      <c r="A141" s="354" t="s">
        <v>491</v>
      </c>
      <c r="B141" s="355"/>
      <c r="C141" s="147" t="s">
        <v>268</v>
      </c>
      <c r="D141" s="148">
        <f>SUM(D139:D140)</f>
        <v>0.05</v>
      </c>
      <c r="E141" s="148">
        <f>SUM(E139:E140)</f>
        <v>0.05</v>
      </c>
      <c r="F141" s="149">
        <f>SUM(F139:F140)</f>
        <v>9</v>
      </c>
      <c r="G141" s="150">
        <v>60</v>
      </c>
      <c r="H141" s="156">
        <f>F141/E141</f>
        <v>180</v>
      </c>
    </row>
    <row r="142" spans="1:8">
      <c r="D142" s="99"/>
      <c r="E142" s="99"/>
      <c r="H142" s="45"/>
    </row>
    <row r="143" spans="1:8">
      <c r="B143" t="s">
        <v>422</v>
      </c>
      <c r="D143" s="106" t="s">
        <v>505</v>
      </c>
      <c r="E143" s="103"/>
      <c r="F143" s="91"/>
      <c r="H143" s="45"/>
    </row>
    <row r="144" spans="1:8" ht="45">
      <c r="A144" s="98" t="s">
        <v>423</v>
      </c>
      <c r="B144" s="138" t="s">
        <v>424</v>
      </c>
      <c r="C144" s="139" t="s">
        <v>425</v>
      </c>
      <c r="D144" s="140" t="s">
        <v>426</v>
      </c>
      <c r="E144" s="140" t="s">
        <v>427</v>
      </c>
      <c r="F144" s="141" t="s">
        <v>428</v>
      </c>
      <c r="G144" s="142" t="s">
        <v>429</v>
      </c>
      <c r="H144" s="152" t="s">
        <v>430</v>
      </c>
    </row>
    <row r="145" spans="1:8">
      <c r="A145" s="1">
        <v>1</v>
      </c>
      <c r="B145" s="63" t="s">
        <v>163</v>
      </c>
      <c r="C145" s="93">
        <v>220</v>
      </c>
      <c r="D145" s="109">
        <v>0.05</v>
      </c>
      <c r="E145" s="109"/>
      <c r="F145" s="94">
        <f t="shared" ref="F145:F146" si="14">D145*C145</f>
        <v>11</v>
      </c>
      <c r="G145" s="1"/>
      <c r="H145" s="20"/>
    </row>
    <row r="146" spans="1:8" ht="15.75" thickBot="1">
      <c r="A146" s="1">
        <v>2</v>
      </c>
      <c r="B146" s="63"/>
      <c r="C146" s="93"/>
      <c r="D146" s="109"/>
      <c r="E146" s="109"/>
      <c r="F146" s="94">
        <f t="shared" si="14"/>
        <v>0</v>
      </c>
      <c r="G146" s="1"/>
      <c r="H146" s="20" t="s">
        <v>451</v>
      </c>
    </row>
    <row r="147" spans="1:8" ht="15.75" thickBot="1">
      <c r="A147" s="354" t="s">
        <v>491</v>
      </c>
      <c r="B147" s="355"/>
      <c r="C147" s="147" t="s">
        <v>268</v>
      </c>
      <c r="D147" s="148">
        <f>SUM(D145:D146)</f>
        <v>0.05</v>
      </c>
      <c r="E147" s="148">
        <v>0.05</v>
      </c>
      <c r="F147" s="149">
        <f>SUM(F145:F146)</f>
        <v>11</v>
      </c>
      <c r="G147" s="150">
        <v>60</v>
      </c>
      <c r="H147" s="156">
        <f>F147/E147</f>
        <v>220</v>
      </c>
    </row>
    <row r="148" spans="1:8">
      <c r="D148" s="99"/>
      <c r="E148" s="99"/>
      <c r="H148" s="45"/>
    </row>
    <row r="149" spans="1:8">
      <c r="B149" t="s">
        <v>422</v>
      </c>
      <c r="D149" s="106" t="s">
        <v>506</v>
      </c>
      <c r="E149" s="103"/>
      <c r="F149" s="91"/>
      <c r="H149" s="45"/>
    </row>
    <row r="150" spans="1:8" ht="45">
      <c r="A150" s="98" t="s">
        <v>423</v>
      </c>
      <c r="B150" s="138" t="s">
        <v>424</v>
      </c>
      <c r="C150" s="139" t="s">
        <v>425</v>
      </c>
      <c r="D150" s="140" t="s">
        <v>426</v>
      </c>
      <c r="E150" s="140" t="s">
        <v>427</v>
      </c>
      <c r="F150" s="141" t="s">
        <v>428</v>
      </c>
      <c r="G150" s="142" t="s">
        <v>429</v>
      </c>
      <c r="H150" s="152" t="s">
        <v>430</v>
      </c>
    </row>
    <row r="151" spans="1:8">
      <c r="A151" s="1">
        <v>1</v>
      </c>
      <c r="B151" s="1" t="s">
        <v>507</v>
      </c>
      <c r="C151" s="93">
        <v>460</v>
      </c>
      <c r="D151" s="92">
        <v>0.6</v>
      </c>
      <c r="E151" s="109"/>
      <c r="F151" s="94">
        <f t="shared" ref="F151:F157" si="15">D151*C151</f>
        <v>276</v>
      </c>
      <c r="G151" s="1"/>
      <c r="H151" s="20"/>
    </row>
    <row r="152" spans="1:8">
      <c r="A152" s="1">
        <v>2</v>
      </c>
      <c r="B152" s="1" t="s">
        <v>508</v>
      </c>
      <c r="C152" s="93">
        <v>100</v>
      </c>
      <c r="D152" s="92">
        <v>0.1</v>
      </c>
      <c r="E152" s="109"/>
      <c r="F152" s="94">
        <f t="shared" si="15"/>
        <v>10</v>
      </c>
      <c r="G152" s="1"/>
      <c r="H152" s="20"/>
    </row>
    <row r="153" spans="1:8">
      <c r="A153" s="1">
        <v>3</v>
      </c>
      <c r="B153" s="1" t="s">
        <v>287</v>
      </c>
      <c r="C153" s="93"/>
      <c r="D153" s="92">
        <v>0.05</v>
      </c>
      <c r="E153" s="109"/>
      <c r="F153" s="94">
        <f t="shared" si="15"/>
        <v>0</v>
      </c>
      <c r="G153" s="1"/>
      <c r="H153" s="20"/>
    </row>
    <row r="154" spans="1:8">
      <c r="A154" s="1">
        <v>4</v>
      </c>
      <c r="B154" s="1" t="s">
        <v>473</v>
      </c>
      <c r="C154" s="93">
        <v>74</v>
      </c>
      <c r="D154" s="92">
        <v>0.01</v>
      </c>
      <c r="E154" s="109"/>
      <c r="F154" s="94">
        <f t="shared" si="15"/>
        <v>0.74</v>
      </c>
      <c r="G154" s="1"/>
      <c r="H154" s="20"/>
    </row>
    <row r="155" spans="1:8">
      <c r="A155" s="1">
        <v>5</v>
      </c>
      <c r="B155" s="1"/>
      <c r="C155" s="93"/>
      <c r="D155" s="92"/>
      <c r="E155" s="109"/>
      <c r="F155" s="94">
        <f t="shared" si="15"/>
        <v>0</v>
      </c>
      <c r="G155" s="1"/>
      <c r="H155" s="20"/>
    </row>
    <row r="156" spans="1:8">
      <c r="A156" s="1">
        <v>6</v>
      </c>
      <c r="B156" s="1"/>
      <c r="C156" s="93"/>
      <c r="D156" s="92"/>
      <c r="E156" s="109"/>
      <c r="F156" s="94">
        <f t="shared" si="15"/>
        <v>0</v>
      </c>
      <c r="G156" s="1"/>
      <c r="H156" s="20"/>
    </row>
    <row r="157" spans="1:8" ht="15.75" thickBot="1">
      <c r="A157" s="1">
        <v>7</v>
      </c>
      <c r="B157" s="63"/>
      <c r="C157" s="93"/>
      <c r="D157" s="109"/>
      <c r="E157" s="109"/>
      <c r="F157" s="94">
        <f t="shared" si="15"/>
        <v>0</v>
      </c>
      <c r="G157" s="1"/>
      <c r="H157" s="210" t="s">
        <v>451</v>
      </c>
    </row>
    <row r="158" spans="1:8" ht="15.75" thickBot="1">
      <c r="A158" s="354" t="s">
        <v>491</v>
      </c>
      <c r="B158" s="355"/>
      <c r="C158" s="147" t="s">
        <v>268</v>
      </c>
      <c r="D158" s="148">
        <f>SUM(D151:D157)</f>
        <v>0.76</v>
      </c>
      <c r="E158" s="148"/>
      <c r="F158" s="149">
        <f>SUM(F151:F157)</f>
        <v>286.74</v>
      </c>
      <c r="G158" s="150"/>
      <c r="H158" s="156">
        <f>F158/D158</f>
        <v>377.28947368421052</v>
      </c>
    </row>
    <row r="159" spans="1:8">
      <c r="D159" s="99"/>
      <c r="E159" s="99"/>
      <c r="H159" s="45"/>
    </row>
    <row r="160" spans="1:8">
      <c r="B160" t="s">
        <v>422</v>
      </c>
      <c r="D160" s="106" t="s">
        <v>509</v>
      </c>
      <c r="E160" s="103"/>
      <c r="F160" s="91"/>
      <c r="H160" s="45"/>
    </row>
    <row r="161" spans="1:8" ht="45">
      <c r="A161" s="98" t="s">
        <v>423</v>
      </c>
      <c r="B161" s="138" t="s">
        <v>424</v>
      </c>
      <c r="C161" s="139" t="s">
        <v>425</v>
      </c>
      <c r="D161" s="140" t="s">
        <v>426</v>
      </c>
      <c r="E161" s="140" t="s">
        <v>427</v>
      </c>
      <c r="F161" s="141" t="s">
        <v>428</v>
      </c>
      <c r="G161" s="142" t="s">
        <v>429</v>
      </c>
      <c r="H161" s="152" t="s">
        <v>430</v>
      </c>
    </row>
    <row r="162" spans="1:8">
      <c r="A162" s="1">
        <v>1</v>
      </c>
      <c r="B162" s="1" t="s">
        <v>510</v>
      </c>
      <c r="C162" s="93">
        <v>660</v>
      </c>
      <c r="D162" s="92">
        <v>0.15</v>
      </c>
      <c r="E162" s="109"/>
      <c r="F162" s="94">
        <f t="shared" ref="F162:F168" si="16">D162*C162</f>
        <v>99</v>
      </c>
      <c r="G162" s="1"/>
      <c r="H162" s="20"/>
    </row>
    <row r="163" spans="1:8">
      <c r="A163" s="1">
        <v>2</v>
      </c>
      <c r="B163" s="1" t="s">
        <v>328</v>
      </c>
      <c r="C163" s="93">
        <v>58</v>
      </c>
      <c r="D163" s="92">
        <v>0.35</v>
      </c>
      <c r="E163" s="109"/>
      <c r="F163" s="94">
        <f t="shared" si="16"/>
        <v>20.299999999999997</v>
      </c>
      <c r="G163" s="1"/>
      <c r="H163" s="20"/>
    </row>
    <row r="164" spans="1:8">
      <c r="A164" s="1">
        <v>3</v>
      </c>
      <c r="B164" s="1" t="s">
        <v>287</v>
      </c>
      <c r="C164" s="93"/>
      <c r="D164" s="92">
        <v>0.4</v>
      </c>
      <c r="E164" s="109"/>
      <c r="F164" s="94">
        <f t="shared" si="16"/>
        <v>0</v>
      </c>
      <c r="G164" s="1"/>
      <c r="H164" s="20"/>
    </row>
    <row r="165" spans="1:8">
      <c r="A165" s="1">
        <v>4</v>
      </c>
      <c r="B165" s="1" t="s">
        <v>318</v>
      </c>
      <c r="C165" s="93">
        <v>550</v>
      </c>
      <c r="D165" s="92">
        <v>0.22500000000000001</v>
      </c>
      <c r="E165" s="109"/>
      <c r="F165" s="94">
        <f t="shared" si="16"/>
        <v>123.75</v>
      </c>
      <c r="G165" s="1"/>
      <c r="H165" s="20"/>
    </row>
    <row r="166" spans="1:8">
      <c r="A166" s="1">
        <v>5</v>
      </c>
      <c r="B166" s="1"/>
      <c r="C166" s="93"/>
      <c r="D166" s="92"/>
      <c r="E166" s="109"/>
      <c r="F166" s="94">
        <f t="shared" si="16"/>
        <v>0</v>
      </c>
      <c r="G166" s="1"/>
      <c r="H166" s="20"/>
    </row>
    <row r="167" spans="1:8">
      <c r="A167" s="1">
        <v>6</v>
      </c>
      <c r="B167" s="1"/>
      <c r="C167" s="93"/>
      <c r="D167" s="92"/>
      <c r="E167" s="109"/>
      <c r="F167" s="94">
        <f t="shared" si="16"/>
        <v>0</v>
      </c>
      <c r="G167" s="1"/>
      <c r="H167" s="20"/>
    </row>
    <row r="168" spans="1:8" ht="15.75" thickBot="1">
      <c r="A168" s="1">
        <v>7</v>
      </c>
      <c r="B168" s="63"/>
      <c r="C168" s="93"/>
      <c r="D168" s="109"/>
      <c r="E168" s="109"/>
      <c r="F168" s="94">
        <f t="shared" si="16"/>
        <v>0</v>
      </c>
      <c r="G168" s="1"/>
      <c r="H168" s="210" t="s">
        <v>451</v>
      </c>
    </row>
    <row r="169" spans="1:8" ht="15.75" thickBot="1">
      <c r="A169" s="354" t="s">
        <v>491</v>
      </c>
      <c r="B169" s="355"/>
      <c r="C169" s="147" t="s">
        <v>268</v>
      </c>
      <c r="D169" s="148">
        <f>SUM(D162:D168)</f>
        <v>1.125</v>
      </c>
      <c r="E169" s="148">
        <v>1</v>
      </c>
      <c r="F169" s="149">
        <f>SUM(F162:F168)</f>
        <v>243.05</v>
      </c>
      <c r="G169" s="150"/>
      <c r="H169" s="156">
        <f>F169/E169</f>
        <v>243.05</v>
      </c>
    </row>
    <row r="170" spans="1:8">
      <c r="D170" s="99"/>
      <c r="E170" s="99"/>
      <c r="H170" s="45"/>
    </row>
    <row r="171" spans="1:8">
      <c r="B171" t="s">
        <v>422</v>
      </c>
      <c r="D171" s="106" t="s">
        <v>44</v>
      </c>
      <c r="E171" s="103"/>
      <c r="F171" s="91"/>
      <c r="H171" s="45"/>
    </row>
    <row r="172" spans="1:8" ht="45">
      <c r="A172" s="98" t="s">
        <v>423</v>
      </c>
      <c r="B172" s="138" t="s">
        <v>424</v>
      </c>
      <c r="C172" s="139" t="s">
        <v>425</v>
      </c>
      <c r="D172" s="140" t="s">
        <v>426</v>
      </c>
      <c r="E172" s="140" t="s">
        <v>427</v>
      </c>
      <c r="F172" s="141" t="s">
        <v>428</v>
      </c>
      <c r="G172" s="142" t="s">
        <v>429</v>
      </c>
      <c r="H172" s="152" t="s">
        <v>430</v>
      </c>
    </row>
    <row r="173" spans="1:8">
      <c r="A173" s="1">
        <v>1</v>
      </c>
      <c r="B173" s="1" t="s">
        <v>326</v>
      </c>
      <c r="C173" s="93">
        <v>650</v>
      </c>
      <c r="D173" s="92">
        <v>0.05</v>
      </c>
      <c r="E173" s="109"/>
      <c r="F173" s="94">
        <f t="shared" ref="F173" si="17">D173*C173</f>
        <v>32.5</v>
      </c>
      <c r="G173" s="1"/>
      <c r="H173" s="20"/>
    </row>
    <row r="174" spans="1:8" ht="15.75" thickBot="1">
      <c r="A174" s="1">
        <v>2</v>
      </c>
      <c r="B174" s="1"/>
      <c r="C174" s="93"/>
      <c r="D174" s="92"/>
      <c r="E174" s="109"/>
      <c r="F174" s="94"/>
      <c r="G174" s="1"/>
      <c r="H174" s="20" t="s">
        <v>433</v>
      </c>
    </row>
    <row r="175" spans="1:8" ht="15.75" thickBot="1">
      <c r="A175" s="354" t="s">
        <v>491</v>
      </c>
      <c r="B175" s="355"/>
      <c r="C175" s="147" t="s">
        <v>268</v>
      </c>
      <c r="D175" s="148">
        <f>SUM(D173:D174)</f>
        <v>0.05</v>
      </c>
      <c r="E175" s="148">
        <v>1</v>
      </c>
      <c r="F175" s="149">
        <f>SUM(F173:F174)</f>
        <v>32.5</v>
      </c>
      <c r="G175" s="150"/>
      <c r="H175" s="156">
        <f>F175/D175</f>
        <v>650</v>
      </c>
    </row>
    <row r="176" spans="1:8">
      <c r="D176" s="99"/>
      <c r="E176" s="99"/>
      <c r="H176" s="45"/>
    </row>
    <row r="177" spans="1:8">
      <c r="B177" t="s">
        <v>422</v>
      </c>
      <c r="D177" s="106" t="s">
        <v>511</v>
      </c>
      <c r="E177" s="103"/>
      <c r="F177" s="91"/>
      <c r="H177" s="45"/>
    </row>
    <row r="178" spans="1:8" ht="45">
      <c r="A178" s="98" t="s">
        <v>423</v>
      </c>
      <c r="B178" s="138" t="s">
        <v>424</v>
      </c>
      <c r="C178" s="139" t="s">
        <v>425</v>
      </c>
      <c r="D178" s="140" t="s">
        <v>426</v>
      </c>
      <c r="E178" s="140" t="s">
        <v>427</v>
      </c>
      <c r="F178" s="141" t="s">
        <v>428</v>
      </c>
      <c r="G178" s="142" t="s">
        <v>429</v>
      </c>
      <c r="H178" s="152" t="s">
        <v>430</v>
      </c>
    </row>
    <row r="179" spans="1:8">
      <c r="A179" s="1">
        <v>1</v>
      </c>
      <c r="B179" s="1" t="s">
        <v>45</v>
      </c>
      <c r="C179" s="93">
        <v>300</v>
      </c>
      <c r="D179" s="92">
        <v>0.05</v>
      </c>
      <c r="E179" s="109"/>
      <c r="F179" s="94">
        <f t="shared" ref="F179" si="18">D179*C179</f>
        <v>15</v>
      </c>
      <c r="G179" s="1"/>
      <c r="H179" s="20"/>
    </row>
    <row r="180" spans="1:8" ht="15.75" thickBot="1">
      <c r="A180" s="1">
        <v>2</v>
      </c>
      <c r="B180" s="1"/>
      <c r="C180" s="93"/>
      <c r="D180" s="92"/>
      <c r="E180" s="109"/>
      <c r="F180" s="94"/>
      <c r="G180" s="1"/>
      <c r="H180" s="20"/>
    </row>
    <row r="181" spans="1:8" ht="15.75" thickBot="1">
      <c r="A181" s="354" t="s">
        <v>491</v>
      </c>
      <c r="B181" s="355"/>
      <c r="C181" s="147" t="s">
        <v>268</v>
      </c>
      <c r="D181" s="148">
        <f>SUM(D179:D180)</f>
        <v>0.05</v>
      </c>
      <c r="E181" s="148">
        <v>1</v>
      </c>
      <c r="F181" s="149">
        <f>SUM(F179:F180)</f>
        <v>15</v>
      </c>
      <c r="G181" s="150"/>
      <c r="H181" s="156">
        <f>F181/D181</f>
        <v>300</v>
      </c>
    </row>
    <row r="184" spans="1:8">
      <c r="B184" t="s">
        <v>422</v>
      </c>
      <c r="D184" s="106" t="s">
        <v>530</v>
      </c>
      <c r="E184" s="103"/>
      <c r="F184" s="91"/>
      <c r="H184" s="45"/>
    </row>
    <row r="185" spans="1:8" ht="45">
      <c r="A185" s="98" t="s">
        <v>423</v>
      </c>
      <c r="B185" s="138" t="s">
        <v>424</v>
      </c>
      <c r="C185" s="139" t="s">
        <v>425</v>
      </c>
      <c r="D185" s="140" t="s">
        <v>426</v>
      </c>
      <c r="E185" s="140" t="s">
        <v>427</v>
      </c>
      <c r="F185" s="141" t="s">
        <v>428</v>
      </c>
      <c r="G185" s="142" t="s">
        <v>429</v>
      </c>
      <c r="H185" s="152" t="s">
        <v>430</v>
      </c>
    </row>
    <row r="186" spans="1:8">
      <c r="A186" s="1">
        <v>1</v>
      </c>
      <c r="B186" s="1" t="s">
        <v>531</v>
      </c>
      <c r="C186" s="93">
        <v>650</v>
      </c>
      <c r="D186" s="92">
        <v>0.7</v>
      </c>
      <c r="E186" s="109"/>
      <c r="F186" s="94">
        <f t="shared" ref="F186:F189" si="19">D186*C186</f>
        <v>454.99999999999994</v>
      </c>
      <c r="G186" s="1"/>
      <c r="H186" s="20"/>
    </row>
    <row r="187" spans="1:8">
      <c r="A187" s="1">
        <v>2</v>
      </c>
      <c r="B187" s="1" t="s">
        <v>532</v>
      </c>
      <c r="C187" s="93">
        <v>362</v>
      </c>
      <c r="D187" s="92">
        <v>0.2</v>
      </c>
      <c r="E187" s="109"/>
      <c r="F187" s="94">
        <f t="shared" si="19"/>
        <v>72.400000000000006</v>
      </c>
      <c r="G187" s="1"/>
      <c r="H187" s="20"/>
    </row>
    <row r="188" spans="1:8">
      <c r="A188" s="1">
        <v>3</v>
      </c>
      <c r="B188" s="1" t="s">
        <v>533</v>
      </c>
      <c r="C188" s="93">
        <v>850</v>
      </c>
      <c r="D188" s="92">
        <v>0.1</v>
      </c>
      <c r="E188" s="109"/>
      <c r="F188" s="94">
        <f t="shared" si="19"/>
        <v>85</v>
      </c>
      <c r="G188" s="1"/>
      <c r="H188" s="20"/>
    </row>
    <row r="189" spans="1:8" ht="15.75" thickBot="1">
      <c r="A189" s="1">
        <v>4</v>
      </c>
      <c r="B189" s="63" t="s">
        <v>137</v>
      </c>
      <c r="C189" s="93">
        <v>250</v>
      </c>
      <c r="D189" s="109">
        <v>0.01</v>
      </c>
      <c r="E189" s="109"/>
      <c r="F189" s="94">
        <f t="shared" si="19"/>
        <v>2.5</v>
      </c>
      <c r="G189" s="1"/>
      <c r="H189" s="210" t="s">
        <v>451</v>
      </c>
    </row>
    <row r="190" spans="1:8" ht="15.75" thickBot="1">
      <c r="A190" s="354" t="s">
        <v>491</v>
      </c>
      <c r="B190" s="355"/>
      <c r="C190" s="147" t="s">
        <v>268</v>
      </c>
      <c r="D190" s="148">
        <f>SUM(D186:D189)</f>
        <v>1.0099999999999998</v>
      </c>
      <c r="E190" s="148">
        <v>1</v>
      </c>
      <c r="F190" s="149">
        <f>SUM(F186:F189)</f>
        <v>614.9</v>
      </c>
      <c r="G190" s="150">
        <v>60</v>
      </c>
      <c r="H190" s="156">
        <f>F190/E190</f>
        <v>614.9</v>
      </c>
    </row>
    <row r="192" spans="1:8">
      <c r="B192" t="s">
        <v>422</v>
      </c>
      <c r="D192" s="106" t="s">
        <v>534</v>
      </c>
      <c r="E192" s="103"/>
      <c r="F192" s="91"/>
      <c r="H192" s="45"/>
    </row>
    <row r="193" spans="1:8" ht="45">
      <c r="A193" s="98" t="s">
        <v>423</v>
      </c>
      <c r="B193" s="138" t="s">
        <v>424</v>
      </c>
      <c r="C193" s="139" t="s">
        <v>425</v>
      </c>
      <c r="D193" s="140" t="s">
        <v>426</v>
      </c>
      <c r="E193" s="140" t="s">
        <v>427</v>
      </c>
      <c r="F193" s="141" t="s">
        <v>428</v>
      </c>
      <c r="G193" s="142" t="s">
        <v>429</v>
      </c>
      <c r="H193" s="152" t="s">
        <v>430</v>
      </c>
    </row>
    <row r="194" spans="1:8">
      <c r="A194" s="211">
        <v>1</v>
      </c>
      <c r="B194" s="138" t="s">
        <v>392</v>
      </c>
      <c r="C194" s="139">
        <v>130</v>
      </c>
      <c r="D194" s="140">
        <v>1</v>
      </c>
      <c r="E194" s="140"/>
      <c r="F194" s="141">
        <f>C194*D194</f>
        <v>130</v>
      </c>
      <c r="G194" s="142"/>
      <c r="H194" s="152"/>
    </row>
    <row r="195" spans="1:8">
      <c r="A195" s="211">
        <v>2</v>
      </c>
      <c r="B195" s="138" t="s">
        <v>285</v>
      </c>
      <c r="C195" s="139">
        <v>850</v>
      </c>
      <c r="D195" s="140">
        <v>0.08</v>
      </c>
      <c r="E195" s="140"/>
      <c r="F195" s="141">
        <f t="shared" ref="F195:F199" si="20">C195*D195</f>
        <v>68</v>
      </c>
      <c r="G195" s="142"/>
      <c r="H195" s="152"/>
    </row>
    <row r="196" spans="1:8">
      <c r="A196" s="211">
        <v>3</v>
      </c>
      <c r="B196" s="138" t="s">
        <v>228</v>
      </c>
      <c r="C196" s="139">
        <v>70</v>
      </c>
      <c r="D196" s="140">
        <v>0.08</v>
      </c>
      <c r="E196" s="140"/>
      <c r="F196" s="141">
        <f t="shared" si="20"/>
        <v>5.6000000000000005</v>
      </c>
      <c r="G196" s="142"/>
      <c r="H196" s="152"/>
    </row>
    <row r="197" spans="1:8">
      <c r="A197" s="211">
        <v>4</v>
      </c>
      <c r="B197" s="138" t="s">
        <v>137</v>
      </c>
      <c r="C197" s="139">
        <v>250</v>
      </c>
      <c r="D197" s="140">
        <v>0.01</v>
      </c>
      <c r="E197" s="140"/>
      <c r="F197" s="141">
        <f t="shared" si="20"/>
        <v>2.5</v>
      </c>
      <c r="G197" s="142"/>
      <c r="H197" s="152"/>
    </row>
    <row r="198" spans="1:8">
      <c r="A198" s="1">
        <v>5</v>
      </c>
      <c r="B198" s="1" t="s">
        <v>535</v>
      </c>
      <c r="C198" s="93">
        <v>650</v>
      </c>
      <c r="D198" s="92">
        <v>0.01</v>
      </c>
      <c r="E198" s="109"/>
      <c r="F198" s="141">
        <f t="shared" si="20"/>
        <v>6.5</v>
      </c>
      <c r="G198" s="1"/>
      <c r="H198" s="20"/>
    </row>
    <row r="199" spans="1:8">
      <c r="A199" s="1">
        <v>6</v>
      </c>
      <c r="B199" s="1" t="s">
        <v>117</v>
      </c>
      <c r="C199" s="93">
        <v>30</v>
      </c>
      <c r="D199" s="92">
        <v>0.01</v>
      </c>
      <c r="E199" s="109"/>
      <c r="F199" s="141">
        <f t="shared" si="20"/>
        <v>0.3</v>
      </c>
      <c r="G199" s="1"/>
      <c r="H199" s="20"/>
    </row>
    <row r="200" spans="1:8">
      <c r="A200" s="1"/>
      <c r="B200" s="1"/>
      <c r="C200" s="93"/>
      <c r="D200" s="92"/>
      <c r="E200" s="109"/>
      <c r="F200" s="94"/>
      <c r="G200" s="1"/>
      <c r="H200" s="20"/>
    </row>
    <row r="201" spans="1:8" ht="15.75" thickBot="1">
      <c r="A201" s="1"/>
      <c r="B201" s="63"/>
      <c r="C201" s="93"/>
      <c r="D201" s="109"/>
      <c r="E201" s="109"/>
      <c r="F201" s="94"/>
      <c r="G201" s="1"/>
      <c r="H201" s="210" t="s">
        <v>451</v>
      </c>
    </row>
    <row r="202" spans="1:8" ht="15.75" thickBot="1">
      <c r="A202" s="354" t="s">
        <v>491</v>
      </c>
      <c r="B202" s="355"/>
      <c r="C202" s="147" t="s">
        <v>268</v>
      </c>
      <c r="D202" s="148">
        <v>1.2</v>
      </c>
      <c r="E202" s="148">
        <v>1</v>
      </c>
      <c r="F202" s="149">
        <v>212.9</v>
      </c>
      <c r="G202" s="150">
        <v>60</v>
      </c>
      <c r="H202" s="156">
        <f>F202/E202</f>
        <v>212.9</v>
      </c>
    </row>
    <row r="204" spans="1:8">
      <c r="B204" t="s">
        <v>422</v>
      </c>
      <c r="D204" s="106" t="s">
        <v>536</v>
      </c>
      <c r="E204" s="103"/>
      <c r="F204" s="91"/>
      <c r="H204" s="45"/>
    </row>
    <row r="205" spans="1:8" ht="45">
      <c r="A205" s="98" t="s">
        <v>423</v>
      </c>
      <c r="B205" s="138" t="s">
        <v>424</v>
      </c>
      <c r="C205" s="139" t="s">
        <v>425</v>
      </c>
      <c r="D205" s="140" t="s">
        <v>426</v>
      </c>
      <c r="E205" s="140" t="s">
        <v>427</v>
      </c>
      <c r="F205" s="141" t="s">
        <v>428</v>
      </c>
      <c r="G205" s="142" t="s">
        <v>429</v>
      </c>
      <c r="H205" s="152" t="s">
        <v>430</v>
      </c>
    </row>
    <row r="206" spans="1:8">
      <c r="A206" s="211">
        <v>1</v>
      </c>
      <c r="B206" s="138" t="s">
        <v>216</v>
      </c>
      <c r="C206" s="139">
        <v>250</v>
      </c>
      <c r="D206" s="140">
        <v>0.4</v>
      </c>
      <c r="E206" s="140">
        <v>0.3</v>
      </c>
      <c r="F206" s="141">
        <f>C206*D206</f>
        <v>100</v>
      </c>
      <c r="G206" s="142"/>
      <c r="H206" s="152"/>
    </row>
    <row r="207" spans="1:8">
      <c r="A207" s="211">
        <v>2</v>
      </c>
      <c r="B207" s="138" t="s">
        <v>142</v>
      </c>
      <c r="C207" s="139">
        <v>650</v>
      </c>
      <c r="D207" s="140">
        <v>0.2</v>
      </c>
      <c r="E207" s="140">
        <v>0.1</v>
      </c>
      <c r="F207" s="141">
        <f t="shared" ref="F207:F213" si="21">C207*D207</f>
        <v>130</v>
      </c>
      <c r="G207" s="142"/>
      <c r="H207" s="152"/>
    </row>
    <row r="208" spans="1:8">
      <c r="A208" s="211">
        <v>3</v>
      </c>
      <c r="B208" s="138" t="s">
        <v>193</v>
      </c>
      <c r="C208" s="139">
        <v>300</v>
      </c>
      <c r="D208" s="140">
        <v>0.3</v>
      </c>
      <c r="E208" s="140">
        <v>0.2</v>
      </c>
      <c r="F208" s="141">
        <f t="shared" si="21"/>
        <v>90</v>
      </c>
      <c r="G208" s="142"/>
      <c r="H208" s="152"/>
    </row>
    <row r="209" spans="1:8">
      <c r="A209" s="211">
        <v>4</v>
      </c>
      <c r="B209" s="138" t="s">
        <v>141</v>
      </c>
      <c r="C209" s="139">
        <v>300</v>
      </c>
      <c r="D209" s="140">
        <v>0.12</v>
      </c>
      <c r="E209" s="140">
        <v>0.1</v>
      </c>
      <c r="F209" s="141">
        <f t="shared" si="21"/>
        <v>36</v>
      </c>
      <c r="G209" s="142"/>
      <c r="H209" s="152"/>
    </row>
    <row r="210" spans="1:8">
      <c r="A210" s="1">
        <v>5</v>
      </c>
      <c r="B210" s="1" t="s">
        <v>300</v>
      </c>
      <c r="C210" s="93">
        <v>300</v>
      </c>
      <c r="D210" s="92">
        <v>0.2</v>
      </c>
      <c r="E210" s="109">
        <v>0.18</v>
      </c>
      <c r="F210" s="141">
        <f t="shared" si="21"/>
        <v>60</v>
      </c>
      <c r="G210" s="1"/>
      <c r="H210" s="20"/>
    </row>
    <row r="211" spans="1:8">
      <c r="A211" s="1">
        <v>6</v>
      </c>
      <c r="B211" s="1" t="s">
        <v>117</v>
      </c>
      <c r="C211" s="93">
        <v>30</v>
      </c>
      <c r="D211" s="92">
        <v>0.01</v>
      </c>
      <c r="E211" s="109">
        <v>0.01</v>
      </c>
      <c r="F211" s="141">
        <f t="shared" si="21"/>
        <v>0.3</v>
      </c>
      <c r="G211" s="1"/>
      <c r="H211" s="20"/>
    </row>
    <row r="212" spans="1:8">
      <c r="A212" s="1"/>
      <c r="B212" s="1" t="s">
        <v>140</v>
      </c>
      <c r="C212" s="93">
        <v>650</v>
      </c>
      <c r="D212" s="92">
        <v>0.1</v>
      </c>
      <c r="E212" s="109">
        <v>0.1</v>
      </c>
      <c r="F212" s="94">
        <f t="shared" si="21"/>
        <v>65</v>
      </c>
      <c r="G212" s="1"/>
      <c r="H212" s="20"/>
    </row>
    <row r="213" spans="1:8" ht="15.75" thickBot="1">
      <c r="A213" s="1"/>
      <c r="B213" s="63" t="s">
        <v>137</v>
      </c>
      <c r="C213" s="186">
        <v>250</v>
      </c>
      <c r="D213" s="187">
        <v>0.01</v>
      </c>
      <c r="E213" s="187">
        <v>0.01</v>
      </c>
      <c r="F213" s="212">
        <f t="shared" si="21"/>
        <v>2.5</v>
      </c>
      <c r="G213" s="1"/>
      <c r="H213" s="210" t="s">
        <v>451</v>
      </c>
    </row>
    <row r="214" spans="1:8" ht="15.75" thickBot="1">
      <c r="A214" s="354" t="s">
        <v>491</v>
      </c>
      <c r="B214" s="355"/>
      <c r="C214" s="213" t="s">
        <v>268</v>
      </c>
      <c r="D214" s="96">
        <v>1.2</v>
      </c>
      <c r="E214" s="92">
        <f>SUM(E206:E213)</f>
        <v>1</v>
      </c>
      <c r="F214" s="61">
        <f>SUM(F206:F213)</f>
        <v>483.8</v>
      </c>
      <c r="G214" s="150"/>
      <c r="H214" s="156">
        <f>F214/E214</f>
        <v>483.8</v>
      </c>
    </row>
  </sheetData>
  <mergeCells count="23">
    <mergeCell ref="A214:B214"/>
    <mergeCell ref="A122:B122"/>
    <mergeCell ref="A129:B129"/>
    <mergeCell ref="A135:B135"/>
    <mergeCell ref="A141:B141"/>
    <mergeCell ref="A147:B147"/>
    <mergeCell ref="A158:B158"/>
    <mergeCell ref="A169:B169"/>
    <mergeCell ref="A175:B175"/>
    <mergeCell ref="A181:B181"/>
    <mergeCell ref="A190:B190"/>
    <mergeCell ref="A202:B202"/>
    <mergeCell ref="A70:B70"/>
    <mergeCell ref="A83:B83"/>
    <mergeCell ref="A94:B94"/>
    <mergeCell ref="A104:B104"/>
    <mergeCell ref="A113:B113"/>
    <mergeCell ref="A59:B59"/>
    <mergeCell ref="G6:H6"/>
    <mergeCell ref="A12:B12"/>
    <mergeCell ref="A20:B20"/>
    <mergeCell ref="A29:B29"/>
    <mergeCell ref="A44:B4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topLeftCell="A28" workbookViewId="0">
      <selection activeCell="J44" sqref="J44"/>
    </sheetView>
  </sheetViews>
  <sheetFormatPr defaultRowHeight="15"/>
  <cols>
    <col min="1" max="1" width="4" style="44" customWidth="1"/>
    <col min="2" max="2" width="20.28515625" customWidth="1"/>
    <col min="3" max="8" width="7.28515625" customWidth="1"/>
  </cols>
  <sheetData>
    <row r="1" spans="1:8">
      <c r="D1" s="103" t="s">
        <v>418</v>
      </c>
      <c r="E1" s="103"/>
      <c r="F1" s="91"/>
      <c r="H1" s="137"/>
    </row>
    <row r="2" spans="1:8" ht="45">
      <c r="A2" s="98" t="s">
        <v>423</v>
      </c>
      <c r="B2" s="138" t="s">
        <v>424</v>
      </c>
      <c r="C2" s="139" t="s">
        <v>425</v>
      </c>
      <c r="D2" s="140" t="s">
        <v>426</v>
      </c>
      <c r="E2" s="140" t="s">
        <v>427</v>
      </c>
      <c r="F2" s="141" t="s">
        <v>428</v>
      </c>
      <c r="G2" s="142"/>
      <c r="H2" s="143" t="s">
        <v>430</v>
      </c>
    </row>
    <row r="3" spans="1:8">
      <c r="A3" s="2">
        <v>1</v>
      </c>
      <c r="B3" s="144" t="s">
        <v>512</v>
      </c>
      <c r="C3" s="93">
        <v>70</v>
      </c>
      <c r="D3" s="145">
        <v>1</v>
      </c>
      <c r="E3" s="109"/>
      <c r="F3" s="94">
        <f t="shared" ref="F3:F12" si="0">D3*C3</f>
        <v>70</v>
      </c>
      <c r="G3" s="1"/>
      <c r="H3" s="146"/>
    </row>
    <row r="4" spans="1:8">
      <c r="A4" s="2">
        <v>2</v>
      </c>
      <c r="B4" s="144" t="s">
        <v>513</v>
      </c>
      <c r="C4" s="93">
        <v>210</v>
      </c>
      <c r="D4" s="145">
        <v>0.05</v>
      </c>
      <c r="E4" s="109"/>
      <c r="F4" s="94">
        <f t="shared" si="0"/>
        <v>10.5</v>
      </c>
      <c r="G4" s="1"/>
      <c r="H4" s="146"/>
    </row>
    <row r="5" spans="1:8">
      <c r="A5" s="2">
        <v>3</v>
      </c>
      <c r="B5" s="144" t="s">
        <v>514</v>
      </c>
      <c r="C5" s="93">
        <v>100</v>
      </c>
      <c r="D5" s="145">
        <v>1.4999999999999999E-2</v>
      </c>
      <c r="E5" s="109"/>
      <c r="F5" s="94">
        <f t="shared" si="0"/>
        <v>1.5</v>
      </c>
      <c r="G5" s="1"/>
      <c r="H5" s="146"/>
    </row>
    <row r="6" spans="1:8">
      <c r="A6" s="2">
        <v>4</v>
      </c>
      <c r="B6" s="144" t="s">
        <v>8</v>
      </c>
      <c r="C6" s="93">
        <v>30</v>
      </c>
      <c r="D6" s="145">
        <v>0.02</v>
      </c>
      <c r="E6" s="109"/>
      <c r="F6" s="94">
        <f t="shared" si="0"/>
        <v>0.6</v>
      </c>
      <c r="G6" s="1"/>
      <c r="H6" s="146"/>
    </row>
    <row r="7" spans="1:8">
      <c r="A7" s="2">
        <v>5</v>
      </c>
      <c r="B7" s="144" t="s">
        <v>515</v>
      </c>
      <c r="C7" s="93">
        <v>230</v>
      </c>
      <c r="D7" s="145">
        <v>0.01</v>
      </c>
      <c r="E7" s="109"/>
      <c r="F7" s="94">
        <f t="shared" si="0"/>
        <v>2.3000000000000003</v>
      </c>
      <c r="G7" s="1"/>
      <c r="H7" s="146"/>
    </row>
    <row r="8" spans="1:8">
      <c r="A8" s="2">
        <v>6</v>
      </c>
      <c r="B8" s="144" t="s">
        <v>516</v>
      </c>
      <c r="C8" s="93">
        <v>130</v>
      </c>
      <c r="D8" s="145">
        <v>0.2</v>
      </c>
      <c r="E8" s="109"/>
      <c r="F8" s="94">
        <f t="shared" si="0"/>
        <v>26</v>
      </c>
      <c r="G8" s="1"/>
      <c r="H8" s="146"/>
    </row>
    <row r="9" spans="1:8">
      <c r="A9" s="2">
        <v>7</v>
      </c>
      <c r="B9" s="144" t="s">
        <v>37</v>
      </c>
      <c r="C9" s="93">
        <v>150</v>
      </c>
      <c r="D9" s="145">
        <v>0.13</v>
      </c>
      <c r="E9" s="109"/>
      <c r="F9" s="94">
        <f t="shared" si="0"/>
        <v>19.5</v>
      </c>
      <c r="G9" s="1"/>
      <c r="H9" s="146"/>
    </row>
    <row r="10" spans="1:8">
      <c r="A10" s="2">
        <v>8</v>
      </c>
      <c r="B10" s="144" t="s">
        <v>287</v>
      </c>
      <c r="C10" s="93"/>
      <c r="D10" s="145">
        <v>0.4</v>
      </c>
      <c r="E10" s="109"/>
      <c r="F10" s="94">
        <f t="shared" si="0"/>
        <v>0</v>
      </c>
      <c r="G10" s="1"/>
      <c r="H10" s="146"/>
    </row>
    <row r="11" spans="1:8">
      <c r="A11" s="2">
        <v>9</v>
      </c>
      <c r="B11" s="144"/>
      <c r="C11" s="93"/>
      <c r="D11" s="145"/>
      <c r="E11" s="109"/>
      <c r="F11" s="94">
        <f t="shared" si="0"/>
        <v>0</v>
      </c>
      <c r="G11" s="1"/>
      <c r="H11" s="146"/>
    </row>
    <row r="12" spans="1:8" ht="15.75" thickBot="1">
      <c r="A12" s="2">
        <v>10</v>
      </c>
      <c r="B12" s="63"/>
      <c r="C12" s="93"/>
      <c r="D12" s="109"/>
      <c r="E12" s="109"/>
      <c r="F12" s="94">
        <f t="shared" si="0"/>
        <v>0</v>
      </c>
      <c r="G12" s="1"/>
      <c r="H12" s="146" t="s">
        <v>451</v>
      </c>
    </row>
    <row r="13" spans="1:8" ht="15.75" thickBot="1">
      <c r="A13" s="354" t="s">
        <v>10</v>
      </c>
      <c r="B13" s="355"/>
      <c r="C13" s="147" t="s">
        <v>268</v>
      </c>
      <c r="D13" s="148">
        <f>SUM(D3:D12)</f>
        <v>1.8249999999999997</v>
      </c>
      <c r="E13" s="148">
        <v>1</v>
      </c>
      <c r="F13" s="149">
        <f>SUM(F3:F12)</f>
        <v>130.39999999999998</v>
      </c>
      <c r="G13" s="150"/>
      <c r="H13" s="151">
        <f>F13/E13</f>
        <v>130.39999999999998</v>
      </c>
    </row>
    <row r="14" spans="1:8">
      <c r="A14" s="102"/>
      <c r="B14" s="102"/>
      <c r="C14" s="102"/>
      <c r="D14" s="103"/>
      <c r="E14" s="103"/>
      <c r="F14" s="104"/>
      <c r="G14" s="110"/>
      <c r="H14" s="137"/>
    </row>
    <row r="15" spans="1:8">
      <c r="D15" s="106" t="s">
        <v>334</v>
      </c>
      <c r="E15" s="103"/>
      <c r="F15" s="91"/>
      <c r="H15" s="45"/>
    </row>
    <row r="16" spans="1:8" ht="45">
      <c r="A16" s="98" t="s">
        <v>423</v>
      </c>
      <c r="B16" s="138" t="s">
        <v>424</v>
      </c>
      <c r="C16" s="139" t="s">
        <v>425</v>
      </c>
      <c r="D16" s="140" t="s">
        <v>426</v>
      </c>
      <c r="E16" s="140" t="s">
        <v>427</v>
      </c>
      <c r="F16" s="141" t="s">
        <v>428</v>
      </c>
      <c r="G16" s="142"/>
      <c r="H16" s="152" t="s">
        <v>430</v>
      </c>
    </row>
    <row r="17" spans="1:8">
      <c r="A17" s="2">
        <v>1</v>
      </c>
      <c r="B17" s="62" t="s">
        <v>517</v>
      </c>
      <c r="C17" s="93">
        <v>70</v>
      </c>
      <c r="D17" s="153">
        <v>0.08</v>
      </c>
      <c r="E17" s="153">
        <v>0.1</v>
      </c>
      <c r="F17" s="94">
        <f t="shared" ref="F17:F26" si="1">D17*C17</f>
        <v>5.6000000000000005</v>
      </c>
      <c r="G17" s="1"/>
      <c r="H17" s="20"/>
    </row>
    <row r="18" spans="1:8">
      <c r="A18" s="2">
        <v>2</v>
      </c>
      <c r="B18" s="62" t="s">
        <v>214</v>
      </c>
      <c r="C18" s="93">
        <v>150</v>
      </c>
      <c r="D18" s="153">
        <v>0.15</v>
      </c>
      <c r="E18" s="153"/>
      <c r="F18" s="94">
        <f t="shared" si="1"/>
        <v>22.5</v>
      </c>
      <c r="G18" s="1"/>
      <c r="H18" s="20"/>
    </row>
    <row r="19" spans="1:8">
      <c r="A19" s="2">
        <v>3</v>
      </c>
      <c r="B19" s="62" t="s">
        <v>117</v>
      </c>
      <c r="C19" s="93">
        <v>30</v>
      </c>
      <c r="D19" s="153">
        <v>5.0000000000000001E-3</v>
      </c>
      <c r="E19" s="153"/>
      <c r="F19" s="94">
        <f t="shared" si="1"/>
        <v>0.15</v>
      </c>
      <c r="G19" s="1"/>
      <c r="H19" s="20"/>
    </row>
    <row r="20" spans="1:8">
      <c r="A20" s="2">
        <v>4</v>
      </c>
      <c r="B20" s="62" t="s">
        <v>285</v>
      </c>
      <c r="C20" s="93">
        <v>850</v>
      </c>
      <c r="D20" s="153">
        <v>0.01</v>
      </c>
      <c r="E20" s="153">
        <v>5.0000000000000001E-3</v>
      </c>
      <c r="F20" s="94">
        <f t="shared" si="1"/>
        <v>8.5</v>
      </c>
      <c r="G20" s="1"/>
      <c r="H20" s="20"/>
    </row>
    <row r="21" spans="1:8">
      <c r="A21" s="2">
        <v>5</v>
      </c>
      <c r="B21" s="62" t="s">
        <v>336</v>
      </c>
      <c r="C21" s="93">
        <v>300</v>
      </c>
      <c r="D21" s="153">
        <v>0.03</v>
      </c>
      <c r="E21" s="153">
        <v>0.03</v>
      </c>
      <c r="F21" s="94">
        <f t="shared" si="1"/>
        <v>9</v>
      </c>
      <c r="G21" s="1"/>
      <c r="H21" s="20"/>
    </row>
    <row r="22" spans="1:8">
      <c r="A22" s="2">
        <v>6</v>
      </c>
      <c r="B22" s="62" t="s">
        <v>337</v>
      </c>
      <c r="C22" s="93">
        <v>680</v>
      </c>
      <c r="D22" s="153">
        <v>5.0000000000000001E-3</v>
      </c>
      <c r="E22" s="153">
        <v>5.0000000000000001E-3</v>
      </c>
      <c r="F22" s="94">
        <f t="shared" si="1"/>
        <v>3.4</v>
      </c>
      <c r="G22" s="1"/>
      <c r="H22" s="20"/>
    </row>
    <row r="23" spans="1:8">
      <c r="A23" s="2">
        <v>7</v>
      </c>
      <c r="B23" s="62" t="s">
        <v>338</v>
      </c>
      <c r="C23" s="93">
        <v>680</v>
      </c>
      <c r="D23" s="153">
        <v>5.0000000000000001E-3</v>
      </c>
      <c r="E23" s="153">
        <v>5.0000000000000001E-3</v>
      </c>
      <c r="F23" s="94">
        <f t="shared" si="1"/>
        <v>3.4</v>
      </c>
      <c r="G23" s="1"/>
      <c r="H23" s="20"/>
    </row>
    <row r="24" spans="1:8">
      <c r="A24" s="2">
        <v>8</v>
      </c>
      <c r="B24" s="62" t="s">
        <v>339</v>
      </c>
      <c r="C24" s="93">
        <v>800</v>
      </c>
      <c r="D24" s="153">
        <v>1.4999999999999999E-2</v>
      </c>
      <c r="E24" s="153">
        <v>1.4999999999999999E-2</v>
      </c>
      <c r="F24" s="94">
        <f t="shared" si="1"/>
        <v>12</v>
      </c>
      <c r="G24" s="1"/>
      <c r="H24" s="20"/>
    </row>
    <row r="25" spans="1:8">
      <c r="A25" s="2">
        <v>9</v>
      </c>
      <c r="B25" s="63"/>
      <c r="C25" s="93"/>
      <c r="D25" s="109"/>
      <c r="E25" s="109"/>
      <c r="F25" s="94">
        <f t="shared" si="1"/>
        <v>0</v>
      </c>
      <c r="G25" s="1"/>
      <c r="H25" s="20"/>
    </row>
    <row r="26" spans="1:8" ht="15.75" thickBot="1">
      <c r="A26" s="2">
        <v>10</v>
      </c>
      <c r="B26" s="154"/>
      <c r="C26" s="93"/>
      <c r="D26" s="109"/>
      <c r="E26" s="109"/>
      <c r="F26" s="155">
        <f t="shared" si="1"/>
        <v>0</v>
      </c>
      <c r="G26" s="1"/>
      <c r="H26" s="20" t="s">
        <v>518</v>
      </c>
    </row>
    <row r="27" spans="1:8" ht="15.75" thickBot="1">
      <c r="A27" s="354" t="s">
        <v>333</v>
      </c>
      <c r="B27" s="355"/>
      <c r="C27" s="147" t="s">
        <v>268</v>
      </c>
      <c r="D27" s="148">
        <f>SUM(D17:D26)</f>
        <v>0.30000000000000004</v>
      </c>
      <c r="E27" s="148">
        <f>SUM(E17:E26)</f>
        <v>0.16000000000000003</v>
      </c>
      <c r="F27" s="149">
        <f>SUM(F17:F26)</f>
        <v>64.55</v>
      </c>
      <c r="G27" s="150">
        <v>150</v>
      </c>
      <c r="H27" s="156">
        <f>F27/E27</f>
        <v>403.43749999999989</v>
      </c>
    </row>
    <row r="28" spans="1:8">
      <c r="A28" s="102"/>
      <c r="B28" s="102"/>
      <c r="C28" s="102"/>
      <c r="D28" s="103"/>
      <c r="E28" s="103"/>
      <c r="F28" s="104"/>
      <c r="G28" s="110"/>
      <c r="H28" s="45"/>
    </row>
    <row r="29" spans="1:8">
      <c r="H29" s="137"/>
    </row>
    <row r="30" spans="1:8">
      <c r="D30" s="110" t="s">
        <v>519</v>
      </c>
      <c r="E30" s="110"/>
      <c r="F30" s="91"/>
      <c r="H30" s="137"/>
    </row>
    <row r="31" spans="1:8" ht="45">
      <c r="A31" s="98" t="s">
        <v>423</v>
      </c>
      <c r="B31" s="157" t="s">
        <v>424</v>
      </c>
      <c r="C31" s="158" t="s">
        <v>425</v>
      </c>
      <c r="D31" s="157" t="s">
        <v>426</v>
      </c>
      <c r="E31" s="157" t="s">
        <v>427</v>
      </c>
      <c r="F31" s="141" t="s">
        <v>428</v>
      </c>
      <c r="G31" s="142" t="s">
        <v>429</v>
      </c>
      <c r="H31" s="143" t="s">
        <v>430</v>
      </c>
    </row>
    <row r="32" spans="1:8">
      <c r="A32" s="2">
        <v>1</v>
      </c>
      <c r="B32" s="62" t="s">
        <v>228</v>
      </c>
      <c r="C32" s="59">
        <v>70</v>
      </c>
      <c r="D32" s="62">
        <v>1</v>
      </c>
      <c r="E32" s="159"/>
      <c r="F32" s="94">
        <f t="shared" ref="F32:F42" si="2">D32*C32</f>
        <v>70</v>
      </c>
      <c r="G32" s="1"/>
      <c r="H32" s="146"/>
    </row>
    <row r="33" spans="1:8">
      <c r="A33" s="2">
        <v>2</v>
      </c>
      <c r="B33" s="62" t="s">
        <v>392</v>
      </c>
      <c r="C33" s="59">
        <v>130</v>
      </c>
      <c r="D33" s="62">
        <v>0.2</v>
      </c>
      <c r="E33" s="159"/>
      <c r="F33" s="94">
        <f t="shared" si="2"/>
        <v>26</v>
      </c>
      <c r="G33" s="1"/>
      <c r="H33" s="146"/>
    </row>
    <row r="34" spans="1:8">
      <c r="A34" s="2">
        <v>3</v>
      </c>
      <c r="B34" s="62" t="s">
        <v>287</v>
      </c>
      <c r="C34" s="59"/>
      <c r="D34" s="62">
        <v>0.3</v>
      </c>
      <c r="E34" s="159"/>
      <c r="F34" s="94">
        <f t="shared" si="2"/>
        <v>0</v>
      </c>
      <c r="G34" s="1"/>
      <c r="H34" s="146"/>
    </row>
    <row r="35" spans="1:8">
      <c r="A35" s="2">
        <v>4</v>
      </c>
      <c r="B35" s="62" t="s">
        <v>390</v>
      </c>
      <c r="C35" s="59">
        <v>210</v>
      </c>
      <c r="D35" s="62">
        <v>0.05</v>
      </c>
      <c r="E35" s="159"/>
      <c r="F35" s="94">
        <f t="shared" si="2"/>
        <v>10.5</v>
      </c>
      <c r="G35" s="1"/>
      <c r="H35" s="146"/>
    </row>
    <row r="36" spans="1:8">
      <c r="A36" s="2">
        <v>5</v>
      </c>
      <c r="B36" s="62" t="s">
        <v>373</v>
      </c>
      <c r="C36" s="59">
        <v>150</v>
      </c>
      <c r="D36" s="62">
        <v>0.05</v>
      </c>
      <c r="E36" s="159"/>
      <c r="F36" s="94">
        <f t="shared" si="2"/>
        <v>7.5</v>
      </c>
      <c r="G36" s="1"/>
      <c r="H36" s="146"/>
    </row>
    <row r="37" spans="1:8">
      <c r="A37" s="2">
        <v>6</v>
      </c>
      <c r="B37" s="62" t="s">
        <v>520</v>
      </c>
      <c r="C37" s="59">
        <v>650</v>
      </c>
      <c r="D37" s="62">
        <v>0.05</v>
      </c>
      <c r="E37" s="159"/>
      <c r="F37" s="94"/>
      <c r="G37" s="1"/>
      <c r="H37" s="146"/>
    </row>
    <row r="38" spans="1:8">
      <c r="A38" s="2">
        <v>7</v>
      </c>
      <c r="B38" s="62" t="s">
        <v>508</v>
      </c>
      <c r="C38" s="59">
        <v>100</v>
      </c>
      <c r="D38" s="62">
        <v>1.4999999999999999E-2</v>
      </c>
      <c r="E38" s="159"/>
      <c r="F38" s="94">
        <f t="shared" si="2"/>
        <v>1.5</v>
      </c>
      <c r="G38" s="1"/>
      <c r="H38" s="146"/>
    </row>
    <row r="39" spans="1:8">
      <c r="A39" s="2">
        <v>8</v>
      </c>
      <c r="B39" s="62" t="s">
        <v>117</v>
      </c>
      <c r="C39" s="59">
        <v>30</v>
      </c>
      <c r="D39" s="62">
        <v>0.02</v>
      </c>
      <c r="E39" s="159"/>
      <c r="F39" s="94">
        <f t="shared" si="2"/>
        <v>0.6</v>
      </c>
      <c r="G39" s="1"/>
      <c r="H39" s="146"/>
    </row>
    <row r="40" spans="1:8">
      <c r="A40" s="2">
        <v>9</v>
      </c>
      <c r="B40" s="62" t="s">
        <v>521</v>
      </c>
      <c r="C40" s="59">
        <v>230</v>
      </c>
      <c r="D40" s="62">
        <v>0.01</v>
      </c>
      <c r="E40" s="159"/>
      <c r="F40" s="94">
        <f t="shared" si="2"/>
        <v>2.3000000000000003</v>
      </c>
      <c r="G40" s="1"/>
      <c r="H40" s="146"/>
    </row>
    <row r="41" spans="1:8">
      <c r="A41" s="2">
        <v>10</v>
      </c>
      <c r="B41" s="160"/>
      <c r="C41" s="59"/>
      <c r="D41" s="159"/>
      <c r="E41" s="159"/>
      <c r="F41" s="94">
        <f t="shared" si="2"/>
        <v>0</v>
      </c>
      <c r="G41" s="1"/>
      <c r="H41" s="146"/>
    </row>
    <row r="42" spans="1:8" ht="15.75" thickBot="1">
      <c r="A42" s="2">
        <v>11</v>
      </c>
      <c r="B42" s="161"/>
      <c r="C42" s="59"/>
      <c r="D42" s="159"/>
      <c r="E42" s="159"/>
      <c r="F42" s="94">
        <f t="shared" si="2"/>
        <v>0</v>
      </c>
      <c r="G42" s="1"/>
      <c r="H42" s="146" t="s">
        <v>433</v>
      </c>
    </row>
    <row r="43" spans="1:8" ht="15.75" thickBot="1">
      <c r="A43" s="354" t="s">
        <v>10</v>
      </c>
      <c r="B43" s="355"/>
      <c r="C43" s="147" t="s">
        <v>268</v>
      </c>
      <c r="D43" s="148">
        <f>SUM(D32:D42)</f>
        <v>1.6950000000000001</v>
      </c>
      <c r="E43" s="148">
        <f>SUM(E32:E42)</f>
        <v>0</v>
      </c>
      <c r="F43" s="149">
        <f>SUM(F32:F42)</f>
        <v>118.39999999999999</v>
      </c>
      <c r="G43" s="150"/>
      <c r="H43" s="151">
        <f>F43/D43</f>
        <v>69.852507374631259</v>
      </c>
    </row>
    <row r="44" spans="1:8">
      <c r="A44" s="102"/>
      <c r="B44" s="102"/>
      <c r="C44" s="102"/>
      <c r="D44" s="103"/>
      <c r="E44" s="103"/>
      <c r="F44" s="104"/>
      <c r="G44" s="99"/>
      <c r="H44" s="45"/>
    </row>
    <row r="45" spans="1:8">
      <c r="D45" s="99"/>
      <c r="E45" s="99"/>
      <c r="H45" s="45"/>
    </row>
    <row r="46" spans="1:8">
      <c r="D46" s="106" t="s">
        <v>523</v>
      </c>
      <c r="E46" s="103"/>
      <c r="F46" s="91"/>
      <c r="H46" s="45"/>
    </row>
    <row r="47" spans="1:8" ht="45">
      <c r="A47" s="98" t="s">
        <v>423</v>
      </c>
      <c r="B47" s="138" t="s">
        <v>424</v>
      </c>
      <c r="C47" s="139" t="s">
        <v>425</v>
      </c>
      <c r="D47" s="140" t="s">
        <v>426</v>
      </c>
      <c r="E47" s="140" t="s">
        <v>427</v>
      </c>
      <c r="F47" s="141" t="s">
        <v>428</v>
      </c>
      <c r="G47" s="142" t="s">
        <v>429</v>
      </c>
      <c r="H47" s="152" t="s">
        <v>430</v>
      </c>
    </row>
    <row r="48" spans="1:8">
      <c r="A48" s="2">
        <v>1</v>
      </c>
      <c r="B48" s="1" t="s">
        <v>335</v>
      </c>
      <c r="C48" s="93">
        <v>70</v>
      </c>
      <c r="D48" s="92">
        <v>0.85</v>
      </c>
      <c r="E48" s="162"/>
      <c r="F48" s="94">
        <f>D48*C48</f>
        <v>59.5</v>
      </c>
      <c r="G48" s="1"/>
      <c r="H48" s="20"/>
    </row>
    <row r="49" spans="1:8">
      <c r="A49" s="2">
        <v>2</v>
      </c>
      <c r="B49" s="1" t="s">
        <v>524</v>
      </c>
      <c r="C49" s="93">
        <v>210</v>
      </c>
      <c r="D49" s="92">
        <v>0.1</v>
      </c>
      <c r="E49" s="162"/>
      <c r="F49" s="94">
        <f t="shared" ref="F49:F51" si="3">D49*C49</f>
        <v>21</v>
      </c>
      <c r="G49" s="1"/>
      <c r="H49" s="20"/>
    </row>
    <row r="50" spans="1:8">
      <c r="A50" s="2">
        <v>3</v>
      </c>
      <c r="B50" s="1" t="s">
        <v>117</v>
      </c>
      <c r="C50" s="93">
        <v>30</v>
      </c>
      <c r="D50" s="92">
        <v>3.0000000000000001E-3</v>
      </c>
      <c r="E50" s="162"/>
      <c r="F50" s="94">
        <f t="shared" si="3"/>
        <v>0.09</v>
      </c>
      <c r="G50" s="1"/>
      <c r="H50" s="20"/>
    </row>
    <row r="51" spans="1:8" ht="15.75" thickBot="1">
      <c r="A51" s="2">
        <v>4</v>
      </c>
      <c r="B51" s="1" t="s">
        <v>287</v>
      </c>
      <c r="C51" s="93"/>
      <c r="D51" s="92">
        <v>0.15</v>
      </c>
      <c r="E51" s="162"/>
      <c r="F51" s="94">
        <f t="shared" si="3"/>
        <v>0</v>
      </c>
      <c r="G51" s="1"/>
      <c r="H51" s="20" t="s">
        <v>451</v>
      </c>
    </row>
    <row r="52" spans="1:8" ht="15.75" thickBot="1">
      <c r="A52" s="165"/>
      <c r="B52" s="163" t="s">
        <v>522</v>
      </c>
      <c r="C52" s="147" t="s">
        <v>268</v>
      </c>
      <c r="D52" s="148">
        <f>SUM(D48:D51)</f>
        <v>1.103</v>
      </c>
      <c r="E52" s="148">
        <v>1</v>
      </c>
      <c r="F52" s="149">
        <f>SUM(F48:F51)</f>
        <v>80.59</v>
      </c>
      <c r="G52" s="164"/>
      <c r="H52" s="156">
        <f>F52/E52</f>
        <v>80.59</v>
      </c>
    </row>
    <row r="53" spans="1:8">
      <c r="A53" s="102"/>
      <c r="B53" s="102"/>
      <c r="C53" s="102"/>
      <c r="D53" s="103"/>
      <c r="E53" s="103"/>
      <c r="F53" s="104"/>
      <c r="G53" s="110"/>
      <c r="H53" s="45"/>
    </row>
    <row r="54" spans="1:8">
      <c r="H54" s="137"/>
    </row>
    <row r="55" spans="1:8">
      <c r="D55" s="106" t="s">
        <v>525</v>
      </c>
      <c r="E55" s="103"/>
      <c r="F55" s="91"/>
      <c r="H55" s="45"/>
    </row>
    <row r="56" spans="1:8" ht="45">
      <c r="A56" s="98" t="s">
        <v>423</v>
      </c>
      <c r="B56" s="138" t="s">
        <v>424</v>
      </c>
      <c r="C56" s="139" t="s">
        <v>425</v>
      </c>
      <c r="D56" s="140" t="s">
        <v>426</v>
      </c>
      <c r="E56" s="140" t="s">
        <v>427</v>
      </c>
      <c r="F56" s="141" t="s">
        <v>428</v>
      </c>
      <c r="G56" s="142" t="s">
        <v>429</v>
      </c>
      <c r="H56" s="152" t="s">
        <v>430</v>
      </c>
    </row>
    <row r="57" spans="1:8">
      <c r="A57" s="2">
        <v>1</v>
      </c>
      <c r="B57" s="1" t="s">
        <v>335</v>
      </c>
      <c r="C57" s="93">
        <v>70</v>
      </c>
      <c r="D57" s="92">
        <v>0.85</v>
      </c>
      <c r="E57" s="162"/>
      <c r="F57" s="94">
        <f>D57*C57</f>
        <v>59.5</v>
      </c>
      <c r="G57" s="1"/>
      <c r="H57" s="20"/>
    </row>
    <row r="58" spans="1:8">
      <c r="A58" s="2">
        <v>2</v>
      </c>
      <c r="B58" s="1" t="s">
        <v>524</v>
      </c>
      <c r="C58" s="93">
        <v>210</v>
      </c>
      <c r="D58" s="92">
        <v>0.1</v>
      </c>
      <c r="E58" s="162"/>
      <c r="F58" s="94">
        <f t="shared" ref="F58:F60" si="4">D58*C58</f>
        <v>21</v>
      </c>
      <c r="G58" s="1"/>
      <c r="H58" s="20"/>
    </row>
    <row r="59" spans="1:8">
      <c r="A59" s="2">
        <v>3</v>
      </c>
      <c r="B59" s="1" t="s">
        <v>117</v>
      </c>
      <c r="C59" s="93">
        <v>30</v>
      </c>
      <c r="D59" s="92">
        <v>3.0000000000000001E-3</v>
      </c>
      <c r="E59" s="162"/>
      <c r="F59" s="94">
        <f t="shared" si="4"/>
        <v>0.09</v>
      </c>
      <c r="G59" s="1"/>
      <c r="H59" s="20"/>
    </row>
    <row r="60" spans="1:8" ht="15.75" thickBot="1">
      <c r="A60" s="2">
        <v>4</v>
      </c>
      <c r="B60" s="1" t="s">
        <v>238</v>
      </c>
      <c r="C60" s="93">
        <v>350</v>
      </c>
      <c r="D60" s="92">
        <v>0.15</v>
      </c>
      <c r="E60" s="162"/>
      <c r="F60" s="94">
        <f t="shared" si="4"/>
        <v>52.5</v>
      </c>
      <c r="G60" s="1"/>
      <c r="H60" s="20" t="s">
        <v>451</v>
      </c>
    </row>
    <row r="61" spans="1:8" ht="15.75" thickBot="1">
      <c r="A61" s="165"/>
      <c r="B61" s="163" t="s">
        <v>522</v>
      </c>
      <c r="C61" s="147" t="s">
        <v>268</v>
      </c>
      <c r="D61" s="148">
        <f>SUM(D57:D60)</f>
        <v>1.103</v>
      </c>
      <c r="E61" s="148">
        <v>1</v>
      </c>
      <c r="F61" s="149">
        <f>SUM(F57:F60)</f>
        <v>133.09</v>
      </c>
      <c r="G61" s="164"/>
      <c r="H61" s="156">
        <f>F61/E61</f>
        <v>133.09</v>
      </c>
    </row>
    <row r="62" spans="1:8">
      <c r="H62" s="137"/>
    </row>
    <row r="63" spans="1:8">
      <c r="H63" s="137"/>
    </row>
    <row r="64" spans="1:8">
      <c r="H64" s="137"/>
    </row>
    <row r="65" spans="8:8">
      <c r="H65" s="137"/>
    </row>
    <row r="66" spans="8:8">
      <c r="H66" s="137"/>
    </row>
    <row r="67" spans="8:8">
      <c r="H67" s="137"/>
    </row>
    <row r="68" spans="8:8">
      <c r="H68" s="137"/>
    </row>
    <row r="69" spans="8:8">
      <c r="H69" s="137"/>
    </row>
    <row r="70" spans="8:8">
      <c r="H70" s="137"/>
    </row>
    <row r="71" spans="8:8">
      <c r="H71" s="137"/>
    </row>
    <row r="72" spans="8:8">
      <c r="H72" s="137"/>
    </row>
    <row r="73" spans="8:8">
      <c r="H73" s="137"/>
    </row>
    <row r="74" spans="8:8">
      <c r="H74" s="137"/>
    </row>
    <row r="75" spans="8:8">
      <c r="H75" s="137"/>
    </row>
    <row r="76" spans="8:8">
      <c r="H76" s="137"/>
    </row>
    <row r="77" spans="8:8">
      <c r="H77" s="137"/>
    </row>
  </sheetData>
  <mergeCells count="3">
    <mergeCell ref="A13:B13"/>
    <mergeCell ref="A27:B27"/>
    <mergeCell ref="A43:B4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МЕНЮ</vt:lpstr>
      <vt:lpstr>Завтрак</vt:lpstr>
      <vt:lpstr>Закуски</vt:lpstr>
      <vt:lpstr>Салаты </vt:lpstr>
      <vt:lpstr>Снеки, сендвичи</vt:lpstr>
      <vt:lpstr>Пицца</vt:lpstr>
      <vt:lpstr>Паста</vt:lpstr>
      <vt:lpstr>Первое</vt:lpstr>
      <vt:lpstr>Второе</vt:lpstr>
      <vt:lpstr>Гарниры</vt:lpstr>
      <vt:lpstr>Выпечка</vt:lpstr>
      <vt:lpstr>Десерты</vt:lpstr>
      <vt:lpstr>пф мясное</vt:lpstr>
      <vt:lpstr>пф соусы бульоны</vt:lpstr>
      <vt:lpstr>пфмучное</vt:lpstr>
      <vt:lpstr>Лист5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</dc:creator>
  <cp:lastModifiedBy>Пользователь</cp:lastModifiedBy>
  <dcterms:created xsi:type="dcterms:W3CDTF">2015-06-05T18:17:20Z</dcterms:created>
  <dcterms:modified xsi:type="dcterms:W3CDTF">2026-05-12T07:57:39Z</dcterms:modified>
</cp:coreProperties>
</file>